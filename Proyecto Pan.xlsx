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empro-my.sharepoint.com/personal/lbeltran_cempro_com/Documents/Apps/Desktop/"/>
    </mc:Choice>
  </mc:AlternateContent>
  <xr:revisionPtr revIDLastSave="583" documentId="13_ncr:1_{0CA9A12C-8928-4BE8-AA83-D8058C9342EA}" xr6:coauthVersionLast="47" xr6:coauthVersionMax="47" xr10:uidLastSave="{1F3A8D78-E98D-4337-9CE3-2467052C3A84}"/>
  <bookViews>
    <workbookView xWindow="23880" yWindow="-120" windowWidth="29040" windowHeight="15720" firstSheet="4" activeTab="5" xr2:uid="{22999053-8589-4437-90A9-C2C831D36F38}"/>
  </bookViews>
  <sheets>
    <sheet name="Frasco 50 ML y  8ml" sheetId="24" state="hidden" r:id="rId1"/>
    <sheet name="Frasco 100 ML" sheetId="23" state="hidden" r:id="rId2"/>
    <sheet name="Frasco 50 ML" sheetId="22" state="hidden" r:id="rId3"/>
    <sheet name="MP perfume" sheetId="21" state="hidden" r:id="rId4"/>
    <sheet name="MP Pan" sheetId="2" r:id="rId5"/>
    <sheet name="Rosca de Color" sheetId="18" r:id="rId6"/>
    <sheet name="Empanada Salpor" sheetId="26" r:id="rId7"/>
    <sheet name="Empanadas Flo" sheetId="17" r:id="rId8"/>
    <sheet name="SHUCOS" sheetId="16" r:id="rId9"/>
    <sheet name="Formulación" sheetId="1" r:id="rId10"/>
    <sheet name="Tostado" sheetId="5" r:id="rId11"/>
    <sheet name="Panitos de manteca" sheetId="12" r:id="rId12"/>
    <sheet name="Manteca" sheetId="6" r:id="rId13"/>
    <sheet name="Frances" sheetId="7" r:id="rId14"/>
    <sheet name="Brazo Gitano" sheetId="9" r:id="rId15"/>
    <sheet name="Torta" sheetId="11" r:id="rId16"/>
    <sheet name="Cubilites" sheetId="8" r:id="rId17"/>
    <sheet name="Donas" sheetId="13" r:id="rId18"/>
    <sheet name="Pañuelitos" sheetId="14" r:id="rId19"/>
    <sheet name="Pan de Banano" sheetId="15" r:id="rId20"/>
    <sheet name="Pirujo" sheetId="19" r:id="rId21"/>
    <sheet name="croosaint" sheetId="25" r:id="rId22"/>
    <sheet name="Sheet1" sheetId="27" r:id="rId23"/>
    <sheet name="pagos" sheetId="20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8" l="1"/>
  <c r="F7" i="18"/>
  <c r="D16" i="18"/>
  <c r="F9" i="26"/>
  <c r="G9" i="26"/>
  <c r="H9" i="26" s="1"/>
  <c r="F30" i="2"/>
  <c r="F9" i="2"/>
  <c r="E24" i="26"/>
  <c r="H18" i="26"/>
  <c r="E17" i="26"/>
  <c r="E15" i="26"/>
  <c r="D15" i="26"/>
  <c r="G14" i="26"/>
  <c r="F14" i="26"/>
  <c r="C14" i="26"/>
  <c r="F13" i="26"/>
  <c r="C13" i="26" s="1"/>
  <c r="G12" i="26"/>
  <c r="F12" i="26"/>
  <c r="C12" i="26" s="1"/>
  <c r="F11" i="26"/>
  <c r="C11" i="26" s="1"/>
  <c r="F10" i="26"/>
  <c r="F8" i="26"/>
  <c r="C8" i="26" s="1"/>
  <c r="G7" i="26"/>
  <c r="F7" i="26"/>
  <c r="C7" i="26"/>
  <c r="F6" i="26"/>
  <c r="C6" i="26" s="1"/>
  <c r="G5" i="26"/>
  <c r="F5" i="26"/>
  <c r="C5" i="26" s="1"/>
  <c r="F4" i="26"/>
  <c r="E23" i="25"/>
  <c r="H17" i="25"/>
  <c r="E14" i="25"/>
  <c r="D14" i="25"/>
  <c r="G13" i="25"/>
  <c r="F13" i="25"/>
  <c r="C13" i="25"/>
  <c r="F12" i="25"/>
  <c r="C12" i="25" s="1"/>
  <c r="F11" i="25"/>
  <c r="C11" i="25"/>
  <c r="F10" i="25"/>
  <c r="C10" i="25" s="1"/>
  <c r="F9" i="25"/>
  <c r="C9" i="25"/>
  <c r="F8" i="25"/>
  <c r="C8" i="25" s="1"/>
  <c r="F7" i="25"/>
  <c r="C7" i="25"/>
  <c r="F6" i="25"/>
  <c r="C6" i="25" s="1"/>
  <c r="F5" i="25"/>
  <c r="C5" i="25" s="1"/>
  <c r="G4" i="25"/>
  <c r="F4" i="25"/>
  <c r="F26" i="2"/>
  <c r="G12" i="25" s="1"/>
  <c r="L19" i="24"/>
  <c r="L18" i="24"/>
  <c r="K18" i="24"/>
  <c r="F21" i="24"/>
  <c r="E20" i="24"/>
  <c r="E23" i="24"/>
  <c r="D20" i="24"/>
  <c r="D17" i="24"/>
  <c r="E22" i="24" s="1"/>
  <c r="G19" i="24"/>
  <c r="G18" i="24"/>
  <c r="F5" i="24"/>
  <c r="F6" i="24"/>
  <c r="F7" i="24"/>
  <c r="F8" i="24"/>
  <c r="F9" i="24"/>
  <c r="F10" i="24"/>
  <c r="F11" i="24"/>
  <c r="F12" i="24"/>
  <c r="F13" i="24"/>
  <c r="F4" i="24"/>
  <c r="E14" i="24"/>
  <c r="D14" i="24"/>
  <c r="G13" i="24"/>
  <c r="H13" i="24"/>
  <c r="G12" i="24"/>
  <c r="H12" i="24"/>
  <c r="G11" i="24"/>
  <c r="H11" i="24"/>
  <c r="G10" i="24"/>
  <c r="H10" i="24"/>
  <c r="G9" i="24"/>
  <c r="H9" i="24"/>
  <c r="G8" i="24"/>
  <c r="H8" i="24"/>
  <c r="G7" i="24"/>
  <c r="G6" i="24"/>
  <c r="H6" i="24"/>
  <c r="G5" i="24"/>
  <c r="H5" i="24"/>
  <c r="G4" i="24"/>
  <c r="G14" i="24" s="1"/>
  <c r="E23" i="23"/>
  <c r="E14" i="23"/>
  <c r="D14" i="23"/>
  <c r="G13" i="23"/>
  <c r="F13" i="23"/>
  <c r="H13" i="23" s="1"/>
  <c r="G12" i="23"/>
  <c r="F12" i="23"/>
  <c r="H12" i="23" s="1"/>
  <c r="G11" i="23"/>
  <c r="F11" i="23"/>
  <c r="H11" i="23" s="1"/>
  <c r="G10" i="23"/>
  <c r="F10" i="23"/>
  <c r="H10" i="23" s="1"/>
  <c r="G9" i="23"/>
  <c r="F9" i="23"/>
  <c r="H9" i="23" s="1"/>
  <c r="G8" i="23"/>
  <c r="F8" i="23"/>
  <c r="H8" i="23" s="1"/>
  <c r="G7" i="23"/>
  <c r="F7" i="23"/>
  <c r="H7" i="23" s="1"/>
  <c r="G6" i="23"/>
  <c r="F6" i="23"/>
  <c r="H6" i="23" s="1"/>
  <c r="G5" i="23"/>
  <c r="F5" i="23"/>
  <c r="H5" i="23" s="1"/>
  <c r="G4" i="23"/>
  <c r="G14" i="23" s="1"/>
  <c r="F4" i="23"/>
  <c r="E22" i="22"/>
  <c r="E23" i="22"/>
  <c r="D17" i="22"/>
  <c r="F7" i="22"/>
  <c r="G5" i="22"/>
  <c r="G6" i="22"/>
  <c r="G7" i="22"/>
  <c r="G8" i="22"/>
  <c r="G9" i="22"/>
  <c r="G10" i="22"/>
  <c r="G11" i="22"/>
  <c r="G12" i="22"/>
  <c r="G13" i="22"/>
  <c r="G4" i="22"/>
  <c r="E14" i="22"/>
  <c r="D14" i="22"/>
  <c r="F13" i="22"/>
  <c r="F12" i="22"/>
  <c r="F11" i="22"/>
  <c r="F10" i="22"/>
  <c r="F9" i="22"/>
  <c r="F8" i="22"/>
  <c r="F6" i="22"/>
  <c r="F5" i="22"/>
  <c r="F4" i="22"/>
  <c r="E10" i="21"/>
  <c r="E41" i="21"/>
  <c r="E40" i="21"/>
  <c r="E39" i="21"/>
  <c r="E38" i="21"/>
  <c r="E37" i="21"/>
  <c r="E36" i="21"/>
  <c r="F12" i="21"/>
  <c r="F11" i="21"/>
  <c r="F10" i="21"/>
  <c r="F9" i="21"/>
  <c r="F8" i="21"/>
  <c r="F7" i="21"/>
  <c r="F6" i="21"/>
  <c r="B1" i="20"/>
  <c r="F15" i="20"/>
  <c r="E23" i="19"/>
  <c r="H16" i="19"/>
  <c r="H17" i="19" s="1"/>
  <c r="E16" i="19"/>
  <c r="E14" i="19"/>
  <c r="D14" i="19"/>
  <c r="G13" i="19"/>
  <c r="F13" i="19"/>
  <c r="G12" i="19"/>
  <c r="F12" i="19"/>
  <c r="C12" i="19" s="1"/>
  <c r="G11" i="19"/>
  <c r="F11" i="19"/>
  <c r="G10" i="19"/>
  <c r="F10" i="19"/>
  <c r="C10" i="19" s="1"/>
  <c r="F9" i="19"/>
  <c r="F8" i="19"/>
  <c r="C8" i="19" s="1"/>
  <c r="F7" i="19"/>
  <c r="F6" i="19"/>
  <c r="C6" i="19" s="1"/>
  <c r="F5" i="19"/>
  <c r="F4" i="19"/>
  <c r="F14" i="19" s="1"/>
  <c r="D19" i="19" s="1"/>
  <c r="D20" i="19" s="1"/>
  <c r="F21" i="2"/>
  <c r="G10" i="18" s="1"/>
  <c r="E23" i="18"/>
  <c r="H16" i="18"/>
  <c r="H17" i="18" s="1"/>
  <c r="E16" i="18"/>
  <c r="E14" i="18"/>
  <c r="D14" i="18"/>
  <c r="G13" i="18"/>
  <c r="F13" i="18"/>
  <c r="G12" i="18"/>
  <c r="F12" i="18"/>
  <c r="C12" i="18"/>
  <c r="G11" i="18"/>
  <c r="F11" i="18"/>
  <c r="F10" i="18"/>
  <c r="C10" i="18" s="1"/>
  <c r="F9" i="18"/>
  <c r="F8" i="18"/>
  <c r="C8" i="18" s="1"/>
  <c r="F6" i="18"/>
  <c r="C6" i="18"/>
  <c r="F5" i="18"/>
  <c r="F4" i="18"/>
  <c r="E23" i="2"/>
  <c r="F23" i="2" s="1"/>
  <c r="F16" i="2"/>
  <c r="F15" i="2"/>
  <c r="G5" i="17" s="1"/>
  <c r="E7" i="2"/>
  <c r="F7" i="2" s="1"/>
  <c r="E23" i="17"/>
  <c r="H17" i="17"/>
  <c r="E16" i="17"/>
  <c r="E14" i="17"/>
  <c r="D14" i="17"/>
  <c r="G13" i="17"/>
  <c r="F13" i="17"/>
  <c r="G12" i="17"/>
  <c r="F12" i="17"/>
  <c r="C12" i="17"/>
  <c r="G11" i="17"/>
  <c r="F11" i="17"/>
  <c r="G10" i="17"/>
  <c r="F10" i="17"/>
  <c r="C10" i="17"/>
  <c r="F9" i="17"/>
  <c r="F8" i="17"/>
  <c r="C8" i="17" s="1"/>
  <c r="F7" i="17"/>
  <c r="F6" i="17"/>
  <c r="C6" i="17" s="1"/>
  <c r="F5" i="17"/>
  <c r="F4" i="17"/>
  <c r="J3" i="16"/>
  <c r="E23" i="16"/>
  <c r="H16" i="16"/>
  <c r="H17" i="16" s="1"/>
  <c r="E16" i="16"/>
  <c r="E14" i="16"/>
  <c r="D14" i="16"/>
  <c r="G13" i="16"/>
  <c r="F13" i="16"/>
  <c r="G12" i="16"/>
  <c r="F12" i="16"/>
  <c r="C12" i="16" s="1"/>
  <c r="G11" i="16"/>
  <c r="F11" i="16"/>
  <c r="G10" i="16"/>
  <c r="F10" i="16"/>
  <c r="C10" i="16" s="1"/>
  <c r="F9" i="16"/>
  <c r="F8" i="16"/>
  <c r="C8" i="16" s="1"/>
  <c r="F7" i="16"/>
  <c r="F6" i="16"/>
  <c r="C6" i="16" s="1"/>
  <c r="F5" i="16"/>
  <c r="F4" i="16"/>
  <c r="F27" i="2"/>
  <c r="H27" i="2" s="1"/>
  <c r="F4" i="15"/>
  <c r="F6" i="2"/>
  <c r="G4" i="12" s="1"/>
  <c r="F5" i="15"/>
  <c r="F32" i="2"/>
  <c r="H32" i="2" s="1"/>
  <c r="F6" i="15"/>
  <c r="F10" i="2"/>
  <c r="G7" i="16" s="1"/>
  <c r="F7" i="15"/>
  <c r="F8" i="15"/>
  <c r="F33" i="2"/>
  <c r="H33" i="2" s="1"/>
  <c r="F9" i="15"/>
  <c r="F34" i="2"/>
  <c r="H34" i="2" s="1"/>
  <c r="F10" i="15"/>
  <c r="F22" i="2"/>
  <c r="G10" i="15" s="1"/>
  <c r="F11" i="15"/>
  <c r="F11" i="2"/>
  <c r="G5" i="16" s="1"/>
  <c r="F12" i="15"/>
  <c r="F25" i="2"/>
  <c r="G9" i="9" s="1"/>
  <c r="F13" i="15"/>
  <c r="F28" i="2"/>
  <c r="G13" i="15" s="1"/>
  <c r="E23" i="15"/>
  <c r="F14" i="15"/>
  <c r="D19" i="15"/>
  <c r="D20" i="15"/>
  <c r="E16" i="15"/>
  <c r="H16" i="15"/>
  <c r="H17" i="15"/>
  <c r="I4" i="15"/>
  <c r="J4" i="15"/>
  <c r="C5" i="15"/>
  <c r="I5" i="15"/>
  <c r="J5" i="15"/>
  <c r="C6" i="15"/>
  <c r="I6" i="15"/>
  <c r="J6" i="15"/>
  <c r="C7" i="15"/>
  <c r="I7" i="15"/>
  <c r="J7" i="15"/>
  <c r="C8" i="15"/>
  <c r="I8" i="15"/>
  <c r="J8" i="15"/>
  <c r="C9" i="15"/>
  <c r="I9" i="15"/>
  <c r="J9" i="15"/>
  <c r="C10" i="15"/>
  <c r="I10" i="15"/>
  <c r="J10" i="15"/>
  <c r="C11" i="15"/>
  <c r="I11" i="15"/>
  <c r="J11" i="15"/>
  <c r="C12" i="15"/>
  <c r="I12" i="15"/>
  <c r="J12" i="15"/>
  <c r="C13" i="15"/>
  <c r="I13" i="15"/>
  <c r="J13" i="15"/>
  <c r="D14" i="15"/>
  <c r="E14" i="15"/>
  <c r="I14" i="15"/>
  <c r="J14" i="15"/>
  <c r="F8" i="2"/>
  <c r="F12" i="2"/>
  <c r="G7" i="6" s="1"/>
  <c r="H7" i="6" s="1"/>
  <c r="F13" i="2"/>
  <c r="G10" i="9" s="1"/>
  <c r="F14" i="2"/>
  <c r="G11" i="9" s="1"/>
  <c r="F17" i="2"/>
  <c r="H17" i="2" s="1"/>
  <c r="F18" i="2"/>
  <c r="H18" i="2" s="1"/>
  <c r="F19" i="2"/>
  <c r="H19" i="2" s="1"/>
  <c r="F20" i="2"/>
  <c r="G7" i="9" s="1"/>
  <c r="F24" i="2"/>
  <c r="G8" i="7" s="1"/>
  <c r="F29" i="2"/>
  <c r="H29" i="2" s="1"/>
  <c r="F31" i="2"/>
  <c r="G10" i="13" s="1"/>
  <c r="K10" i="13" s="1"/>
  <c r="F35" i="2"/>
  <c r="H35" i="2" s="1"/>
  <c r="D16" i="14"/>
  <c r="E23" i="14"/>
  <c r="E16" i="14"/>
  <c r="E14" i="14"/>
  <c r="D14" i="14"/>
  <c r="G13" i="14"/>
  <c r="K13" i="14" s="1"/>
  <c r="F13" i="14"/>
  <c r="C13" i="14"/>
  <c r="F12" i="14"/>
  <c r="C12" i="14"/>
  <c r="F11" i="14"/>
  <c r="C11" i="14"/>
  <c r="F10" i="14"/>
  <c r="C10" i="14"/>
  <c r="F9" i="14"/>
  <c r="C9" i="14"/>
  <c r="F8" i="14"/>
  <c r="C8" i="14"/>
  <c r="F7" i="14"/>
  <c r="C7" i="14"/>
  <c r="F6" i="14"/>
  <c r="C6" i="14"/>
  <c r="F5" i="14"/>
  <c r="C5" i="14"/>
  <c r="F4" i="14"/>
  <c r="D16" i="13"/>
  <c r="H16" i="13"/>
  <c r="H17" i="13"/>
  <c r="E23" i="13"/>
  <c r="E16" i="13"/>
  <c r="E14" i="13"/>
  <c r="D14" i="13"/>
  <c r="G13" i="13"/>
  <c r="H13" i="13" s="1"/>
  <c r="F13" i="13"/>
  <c r="C13" i="13"/>
  <c r="F12" i="13"/>
  <c r="C12" i="13"/>
  <c r="F11" i="13"/>
  <c r="C11" i="13"/>
  <c r="F10" i="13"/>
  <c r="C10" i="13"/>
  <c r="F9" i="13"/>
  <c r="C9" i="13"/>
  <c r="F8" i="13"/>
  <c r="C8" i="13"/>
  <c r="F7" i="13"/>
  <c r="C7" i="13"/>
  <c r="F6" i="13"/>
  <c r="C6" i="13"/>
  <c r="F5" i="13"/>
  <c r="C5" i="13"/>
  <c r="F4" i="13"/>
  <c r="D16" i="12"/>
  <c r="E23" i="12"/>
  <c r="E16" i="12"/>
  <c r="E14" i="12"/>
  <c r="D14" i="12"/>
  <c r="G13" i="12"/>
  <c r="H13" i="12" s="1"/>
  <c r="F13" i="12"/>
  <c r="C13" i="12"/>
  <c r="G12" i="12"/>
  <c r="K12" i="12" s="1"/>
  <c r="F12" i="12"/>
  <c r="C12" i="12"/>
  <c r="G11" i="12"/>
  <c r="K11" i="12" s="1"/>
  <c r="F11" i="12"/>
  <c r="C11" i="12"/>
  <c r="F10" i="12"/>
  <c r="C10" i="12"/>
  <c r="F9" i="12"/>
  <c r="C9" i="12"/>
  <c r="F8" i="12"/>
  <c r="C8" i="12"/>
  <c r="F7" i="12"/>
  <c r="C7" i="12"/>
  <c r="F6" i="12"/>
  <c r="F5" i="12"/>
  <c r="C5" i="12"/>
  <c r="F4" i="12"/>
  <c r="E23" i="11"/>
  <c r="H16" i="11"/>
  <c r="H17" i="11"/>
  <c r="E16" i="11"/>
  <c r="E14" i="11"/>
  <c r="D14" i="11"/>
  <c r="G13" i="11"/>
  <c r="K13" i="11" s="1"/>
  <c r="F13" i="11"/>
  <c r="G12" i="11"/>
  <c r="K12" i="11" s="1"/>
  <c r="F12" i="11"/>
  <c r="C12" i="11"/>
  <c r="G11" i="11"/>
  <c r="H11" i="11" s="1"/>
  <c r="F11" i="11"/>
  <c r="F10" i="11"/>
  <c r="C10" i="11"/>
  <c r="F9" i="11"/>
  <c r="F8" i="11"/>
  <c r="C8" i="11"/>
  <c r="F7" i="11"/>
  <c r="F6" i="11"/>
  <c r="C6" i="11"/>
  <c r="F5" i="11"/>
  <c r="F4" i="11"/>
  <c r="E23" i="9"/>
  <c r="H16" i="9"/>
  <c r="H17" i="9"/>
  <c r="E16" i="9"/>
  <c r="E14" i="9"/>
  <c r="D14" i="9"/>
  <c r="G13" i="9"/>
  <c r="H13" i="9" s="1"/>
  <c r="F13" i="9"/>
  <c r="C13" i="9"/>
  <c r="G12" i="9"/>
  <c r="H12" i="9" s="1"/>
  <c r="F12" i="9"/>
  <c r="C12" i="9"/>
  <c r="F11" i="9"/>
  <c r="C11" i="9"/>
  <c r="F10" i="9"/>
  <c r="C10" i="9"/>
  <c r="F9" i="9"/>
  <c r="C9" i="9"/>
  <c r="F8" i="9"/>
  <c r="C8" i="9"/>
  <c r="F7" i="9"/>
  <c r="C7" i="9"/>
  <c r="F6" i="9"/>
  <c r="C6" i="9"/>
  <c r="F5" i="9"/>
  <c r="C5" i="9"/>
  <c r="F4" i="9"/>
  <c r="E23" i="8"/>
  <c r="H16" i="8"/>
  <c r="H17" i="8"/>
  <c r="E16" i="8"/>
  <c r="E14" i="8"/>
  <c r="D14" i="8"/>
  <c r="G13" i="8"/>
  <c r="K13" i="8" s="1"/>
  <c r="F13" i="8"/>
  <c r="C13" i="8"/>
  <c r="G12" i="8"/>
  <c r="H12" i="8" s="1"/>
  <c r="F12" i="8"/>
  <c r="C12" i="8"/>
  <c r="G11" i="8"/>
  <c r="K11" i="8" s="1"/>
  <c r="F11" i="8"/>
  <c r="C11" i="8"/>
  <c r="F10" i="8"/>
  <c r="C10" i="8"/>
  <c r="F9" i="8"/>
  <c r="C9" i="8"/>
  <c r="F8" i="8"/>
  <c r="C8" i="8"/>
  <c r="F7" i="8"/>
  <c r="C7" i="8"/>
  <c r="F6" i="8"/>
  <c r="C6" i="8"/>
  <c r="F5" i="8"/>
  <c r="C5" i="8"/>
  <c r="F4" i="8"/>
  <c r="E16" i="7"/>
  <c r="E16" i="6"/>
  <c r="E16" i="5"/>
  <c r="E14" i="5"/>
  <c r="F14" i="5"/>
  <c r="I13" i="5"/>
  <c r="D14" i="5"/>
  <c r="F11" i="5"/>
  <c r="I11" i="5"/>
  <c r="G11" i="5"/>
  <c r="K11" i="5" s="1"/>
  <c r="F12" i="5"/>
  <c r="I12" i="5"/>
  <c r="G12" i="5"/>
  <c r="H12" i="5" s="1"/>
  <c r="F13" i="5"/>
  <c r="G13" i="5"/>
  <c r="H13" i="5" s="1"/>
  <c r="C12" i="5"/>
  <c r="C13" i="5"/>
  <c r="E23" i="7"/>
  <c r="H16" i="7"/>
  <c r="H17" i="7"/>
  <c r="E14" i="7"/>
  <c r="D14" i="7"/>
  <c r="G13" i="7"/>
  <c r="K13" i="7" s="1"/>
  <c r="F13" i="7"/>
  <c r="C13" i="7"/>
  <c r="G12" i="7"/>
  <c r="K12" i="7" s="1"/>
  <c r="F12" i="7"/>
  <c r="C12" i="7"/>
  <c r="G11" i="7"/>
  <c r="K11" i="7" s="1"/>
  <c r="F11" i="7"/>
  <c r="C11" i="7"/>
  <c r="G10" i="7"/>
  <c r="K10" i="7" s="1"/>
  <c r="F10" i="7"/>
  <c r="C10" i="7"/>
  <c r="F9" i="7"/>
  <c r="F8" i="7"/>
  <c r="C8" i="7"/>
  <c r="F7" i="7"/>
  <c r="C7" i="7"/>
  <c r="F6" i="7"/>
  <c r="C6" i="7"/>
  <c r="F5" i="7"/>
  <c r="F4" i="7"/>
  <c r="F6" i="6"/>
  <c r="C6" i="6"/>
  <c r="F7" i="6"/>
  <c r="C7" i="6"/>
  <c r="F8" i="6"/>
  <c r="C8" i="6"/>
  <c r="E23" i="6"/>
  <c r="H16" i="6"/>
  <c r="H17" i="6"/>
  <c r="E14" i="6"/>
  <c r="D14" i="6"/>
  <c r="G13" i="6"/>
  <c r="H13" i="6" s="1"/>
  <c r="F13" i="6"/>
  <c r="C13" i="6"/>
  <c r="G12" i="6"/>
  <c r="K12" i="6" s="1"/>
  <c r="F12" i="6"/>
  <c r="C12" i="6"/>
  <c r="G11" i="6"/>
  <c r="K11" i="6" s="1"/>
  <c r="F11" i="6"/>
  <c r="C11" i="6"/>
  <c r="F10" i="6"/>
  <c r="C10" i="6"/>
  <c r="F9" i="6"/>
  <c r="C9" i="6"/>
  <c r="F5" i="6"/>
  <c r="C5" i="6"/>
  <c r="F4" i="6"/>
  <c r="E23" i="5"/>
  <c r="H16" i="5"/>
  <c r="H17" i="5"/>
  <c r="G10" i="5"/>
  <c r="H10" i="5" s="1"/>
  <c r="F10" i="5"/>
  <c r="F9" i="5"/>
  <c r="F8" i="5"/>
  <c r="C8" i="5"/>
  <c r="F7" i="5"/>
  <c r="F6" i="5"/>
  <c r="F5" i="5"/>
  <c r="F4" i="5"/>
  <c r="E18" i="1"/>
  <c r="G33" i="1"/>
  <c r="G34" i="1"/>
  <c r="G35" i="1"/>
  <c r="G36" i="1"/>
  <c r="G37" i="1"/>
  <c r="G38" i="1"/>
  <c r="G32" i="1"/>
  <c r="E13" i="1"/>
  <c r="E14" i="1"/>
  <c r="D10" i="1"/>
  <c r="G10" i="1" s="1"/>
  <c r="D25" i="1"/>
  <c r="C25" i="1"/>
  <c r="D56" i="1"/>
  <c r="G55" i="1"/>
  <c r="G56" i="1"/>
  <c r="E52" i="1"/>
  <c r="E51" i="1"/>
  <c r="B51" i="1"/>
  <c r="E50" i="1"/>
  <c r="B50" i="1"/>
  <c r="E49" i="1"/>
  <c r="E48" i="1"/>
  <c r="E47" i="1"/>
  <c r="B47" i="1"/>
  <c r="E46" i="1"/>
  <c r="D14" i="1"/>
  <c r="C42" i="1"/>
  <c r="D28" i="1"/>
  <c r="H31" i="1"/>
  <c r="L36" i="1"/>
  <c r="L37" i="1"/>
  <c r="L35" i="1"/>
  <c r="E37" i="1"/>
  <c r="D39" i="1"/>
  <c r="C39" i="1"/>
  <c r="F38" i="1"/>
  <c r="I38" i="1" s="1"/>
  <c r="E38" i="1"/>
  <c r="B38" i="1"/>
  <c r="E36" i="1"/>
  <c r="E35" i="1"/>
  <c r="E34" i="1"/>
  <c r="E33" i="1"/>
  <c r="E32" i="1"/>
  <c r="F24" i="1"/>
  <c r="I24" i="1" s="1"/>
  <c r="E24" i="1"/>
  <c r="E19" i="1"/>
  <c r="E20" i="1"/>
  <c r="E21" i="1"/>
  <c r="E22" i="1"/>
  <c r="E23" i="1"/>
  <c r="B23" i="1"/>
  <c r="B22" i="1"/>
  <c r="B19" i="1"/>
  <c r="B24" i="1"/>
  <c r="B21" i="1"/>
  <c r="B20" i="1"/>
  <c r="B6" i="1"/>
  <c r="B9" i="1"/>
  <c r="B8" i="1"/>
  <c r="E42" i="2"/>
  <c r="E43" i="2"/>
  <c r="E44" i="2"/>
  <c r="E40" i="2"/>
  <c r="E41" i="2"/>
  <c r="E39" i="2"/>
  <c r="B5" i="1"/>
  <c r="B7" i="1"/>
  <c r="B10" i="1"/>
  <c r="F14" i="11"/>
  <c r="D19" i="11"/>
  <c r="D20" i="11"/>
  <c r="I5" i="11"/>
  <c r="J5" i="11"/>
  <c r="C5" i="11"/>
  <c r="C7" i="11"/>
  <c r="C9" i="11"/>
  <c r="C11" i="11"/>
  <c r="C13" i="11"/>
  <c r="F14" i="9"/>
  <c r="I6" i="9"/>
  <c r="G8" i="8"/>
  <c r="K8" i="8" s="1"/>
  <c r="F14" i="8"/>
  <c r="I5" i="8"/>
  <c r="C11" i="5"/>
  <c r="C5" i="7"/>
  <c r="F14" i="7"/>
  <c r="C9" i="7"/>
  <c r="F14" i="6"/>
  <c r="I8" i="6"/>
  <c r="I7" i="6"/>
  <c r="C5" i="5"/>
  <c r="C9" i="5"/>
  <c r="C7" i="5"/>
  <c r="C6" i="5"/>
  <c r="C10" i="5"/>
  <c r="B52" i="1"/>
  <c r="B49" i="1"/>
  <c r="B48" i="1"/>
  <c r="E53" i="1"/>
  <c r="E55" i="1"/>
  <c r="E56" i="1"/>
  <c r="B37" i="1"/>
  <c r="B36" i="1"/>
  <c r="B35" i="1"/>
  <c r="B34" i="1"/>
  <c r="B33" i="1"/>
  <c r="E39" i="1"/>
  <c r="E25" i="1"/>
  <c r="C11" i="1"/>
  <c r="H38" i="1"/>
  <c r="I9" i="11"/>
  <c r="J9" i="11"/>
  <c r="I13" i="11"/>
  <c r="J13" i="11"/>
  <c r="I4" i="11"/>
  <c r="J4" i="11"/>
  <c r="I12" i="11"/>
  <c r="J12" i="11"/>
  <c r="I7" i="11"/>
  <c r="J7" i="11"/>
  <c r="I11" i="11"/>
  <c r="J11" i="11"/>
  <c r="I8" i="11"/>
  <c r="J8" i="11"/>
  <c r="I6" i="11"/>
  <c r="J6" i="11"/>
  <c r="I10" i="11"/>
  <c r="J10" i="11"/>
  <c r="I4" i="9"/>
  <c r="I8" i="9"/>
  <c r="I12" i="9"/>
  <c r="I13" i="9"/>
  <c r="D19" i="9"/>
  <c r="D20" i="9"/>
  <c r="I11" i="9"/>
  <c r="I9" i="9"/>
  <c r="I7" i="9"/>
  <c r="I5" i="9"/>
  <c r="I10" i="9"/>
  <c r="I7" i="8"/>
  <c r="I11" i="8"/>
  <c r="I4" i="8"/>
  <c r="I6" i="8"/>
  <c r="I8" i="8"/>
  <c r="I10" i="8"/>
  <c r="I12" i="8"/>
  <c r="D19" i="8"/>
  <c r="D20" i="8"/>
  <c r="I9" i="8"/>
  <c r="I13" i="8"/>
  <c r="D19" i="7"/>
  <c r="D20" i="7"/>
  <c r="I4" i="7"/>
  <c r="I10" i="7"/>
  <c r="I7" i="7"/>
  <c r="I13" i="7"/>
  <c r="I11" i="7"/>
  <c r="I9" i="7"/>
  <c r="I12" i="7"/>
  <c r="I6" i="7"/>
  <c r="I5" i="7"/>
  <c r="I8" i="7"/>
  <c r="I5" i="6"/>
  <c r="I12" i="6"/>
  <c r="I11" i="6"/>
  <c r="I13" i="6"/>
  <c r="D19" i="6"/>
  <c r="D20" i="6"/>
  <c r="I10" i="6"/>
  <c r="I9" i="6"/>
  <c r="I4" i="6"/>
  <c r="I6" i="6"/>
  <c r="I4" i="5"/>
  <c r="I9" i="5"/>
  <c r="I10" i="5"/>
  <c r="D19" i="5"/>
  <c r="D20" i="5"/>
  <c r="I6" i="5"/>
  <c r="I7" i="5"/>
  <c r="I8" i="5"/>
  <c r="I5" i="5"/>
  <c r="G23" i="1"/>
  <c r="G21" i="1"/>
  <c r="G20" i="1"/>
  <c r="G22" i="1"/>
  <c r="G19" i="1"/>
  <c r="G24" i="1"/>
  <c r="G18" i="1"/>
  <c r="H35" i="1"/>
  <c r="G46" i="1"/>
  <c r="H46" i="1"/>
  <c r="H34" i="1"/>
  <c r="H33" i="1"/>
  <c r="G49" i="1"/>
  <c r="H49" i="1"/>
  <c r="G52" i="1"/>
  <c r="H52" i="1"/>
  <c r="G47" i="1"/>
  <c r="H47" i="1"/>
  <c r="G50" i="1"/>
  <c r="H50" i="1"/>
  <c r="G51" i="1"/>
  <c r="H37" i="1"/>
  <c r="H36" i="1"/>
  <c r="G48" i="1"/>
  <c r="H48" i="1"/>
  <c r="G53" i="1"/>
  <c r="H53" i="1"/>
  <c r="E27" i="1"/>
  <c r="E28" i="1"/>
  <c r="E41" i="1"/>
  <c r="G41" i="1"/>
  <c r="G42" i="1"/>
  <c r="E9" i="1"/>
  <c r="F9" i="1"/>
  <c r="E10" i="1"/>
  <c r="E4" i="1"/>
  <c r="E5" i="1"/>
  <c r="E6" i="1"/>
  <c r="E7" i="1"/>
  <c r="E8" i="1"/>
  <c r="I14" i="11"/>
  <c r="J14" i="11"/>
  <c r="I14" i="9"/>
  <c r="J14" i="9"/>
  <c r="J12" i="9"/>
  <c r="J10" i="9"/>
  <c r="J8" i="9"/>
  <c r="J6" i="9"/>
  <c r="J4" i="9"/>
  <c r="J13" i="9"/>
  <c r="J11" i="9"/>
  <c r="J9" i="9"/>
  <c r="J7" i="9"/>
  <c r="J5" i="9"/>
  <c r="J13" i="8"/>
  <c r="J5" i="8"/>
  <c r="J9" i="8"/>
  <c r="J8" i="8"/>
  <c r="I14" i="8"/>
  <c r="J14" i="8"/>
  <c r="J11" i="8"/>
  <c r="J10" i="8"/>
  <c r="J7" i="8"/>
  <c r="J12" i="8"/>
  <c r="J4" i="8"/>
  <c r="J6" i="8"/>
  <c r="J6" i="6"/>
  <c r="I14" i="5"/>
  <c r="J14" i="5"/>
  <c r="J13" i="5"/>
  <c r="J12" i="5"/>
  <c r="J11" i="5"/>
  <c r="I14" i="7"/>
  <c r="J13" i="7"/>
  <c r="J12" i="7"/>
  <c r="J9" i="7"/>
  <c r="J14" i="7"/>
  <c r="J5" i="7"/>
  <c r="J6" i="7"/>
  <c r="J4" i="7"/>
  <c r="J11" i="7"/>
  <c r="J8" i="7"/>
  <c r="J10" i="7"/>
  <c r="J7" i="7"/>
  <c r="J9" i="6"/>
  <c r="J13" i="6"/>
  <c r="J10" i="6"/>
  <c r="J4" i="6"/>
  <c r="J7" i="6"/>
  <c r="J8" i="6"/>
  <c r="J12" i="6"/>
  <c r="J11" i="6"/>
  <c r="J5" i="6"/>
  <c r="I14" i="6"/>
  <c r="J14" i="6"/>
  <c r="J5" i="5"/>
  <c r="J6" i="5"/>
  <c r="J7" i="5"/>
  <c r="J9" i="5"/>
  <c r="J10" i="5"/>
  <c r="J8" i="5"/>
  <c r="J4" i="5"/>
  <c r="H51" i="1"/>
  <c r="H32" i="1"/>
  <c r="G39" i="1"/>
  <c r="H39" i="1"/>
  <c r="E42" i="1"/>
  <c r="G25" i="1"/>
  <c r="F5" i="1"/>
  <c r="F6" i="1"/>
  <c r="F4" i="1"/>
  <c r="F10" i="1"/>
  <c r="F8" i="1"/>
  <c r="F7" i="1"/>
  <c r="E11" i="1"/>
  <c r="F11" i="1"/>
  <c r="G13" i="1"/>
  <c r="G14" i="1"/>
  <c r="G27" i="1"/>
  <c r="G28" i="1"/>
  <c r="H23" i="1"/>
  <c r="H24" i="1"/>
  <c r="H25" i="1"/>
  <c r="H20" i="1"/>
  <c r="H18" i="1"/>
  <c r="H19" i="1"/>
  <c r="H21" i="1"/>
  <c r="H22" i="1"/>
  <c r="F14" i="14"/>
  <c r="I8" i="14"/>
  <c r="I11" i="14"/>
  <c r="I7" i="14"/>
  <c r="G12" i="14"/>
  <c r="K12" i="14" s="1"/>
  <c r="G11" i="14"/>
  <c r="H11" i="14" s="1"/>
  <c r="I10" i="14"/>
  <c r="I4" i="14"/>
  <c r="I13" i="14"/>
  <c r="I9" i="14"/>
  <c r="H16" i="14"/>
  <c r="H17" i="14"/>
  <c r="F14" i="13"/>
  <c r="I9" i="13"/>
  <c r="H16" i="12"/>
  <c r="H17" i="12"/>
  <c r="F14" i="12"/>
  <c r="D19" i="12"/>
  <c r="D20" i="12"/>
  <c r="C6" i="12"/>
  <c r="D19" i="14"/>
  <c r="D20" i="14"/>
  <c r="I6" i="14"/>
  <c r="I5" i="14"/>
  <c r="I12" i="14"/>
  <c r="I14" i="14"/>
  <c r="J14" i="14"/>
  <c r="J12" i="14"/>
  <c r="J6" i="14"/>
  <c r="J10" i="14"/>
  <c r="J4" i="14"/>
  <c r="J13" i="14"/>
  <c r="J11" i="14"/>
  <c r="J9" i="14"/>
  <c r="J7" i="14"/>
  <c r="J5" i="14"/>
  <c r="J8" i="14"/>
  <c r="I11" i="13"/>
  <c r="I5" i="13"/>
  <c r="I4" i="13"/>
  <c r="I7" i="13"/>
  <c r="I13" i="13"/>
  <c r="I6" i="13"/>
  <c r="I8" i="13"/>
  <c r="I10" i="13"/>
  <c r="D19" i="13"/>
  <c r="D20" i="13"/>
  <c r="I12" i="13"/>
  <c r="I6" i="12"/>
  <c r="J6" i="12"/>
  <c r="I4" i="12"/>
  <c r="J4" i="12"/>
  <c r="I5" i="12"/>
  <c r="J5" i="12"/>
  <c r="I9" i="12"/>
  <c r="J9" i="12"/>
  <c r="I13" i="12"/>
  <c r="J13" i="12"/>
  <c r="I8" i="12"/>
  <c r="J8" i="12"/>
  <c r="I7" i="12"/>
  <c r="J7" i="12"/>
  <c r="I12" i="12"/>
  <c r="J12" i="12"/>
  <c r="I10" i="12"/>
  <c r="J10" i="12"/>
  <c r="I11" i="12"/>
  <c r="J11" i="12"/>
  <c r="J12" i="13"/>
  <c r="J10" i="13"/>
  <c r="J9" i="13"/>
  <c r="J5" i="13"/>
  <c r="J11" i="13"/>
  <c r="J4" i="13"/>
  <c r="J7" i="13"/>
  <c r="J13" i="13"/>
  <c r="J6" i="13"/>
  <c r="J8" i="13"/>
  <c r="I14" i="13"/>
  <c r="J14" i="13"/>
  <c r="I14" i="12"/>
  <c r="J14" i="12"/>
  <c r="G13" i="26" l="1"/>
  <c r="G8" i="26"/>
  <c r="H8" i="26" s="1"/>
  <c r="G11" i="26"/>
  <c r="H11" i="26" s="1"/>
  <c r="G10" i="26"/>
  <c r="H10" i="26" s="1"/>
  <c r="G5" i="25"/>
  <c r="H5" i="25" s="1"/>
  <c r="G6" i="26"/>
  <c r="H6" i="26" s="1"/>
  <c r="G11" i="25"/>
  <c r="H11" i="25" s="1"/>
  <c r="G6" i="19"/>
  <c r="H6" i="19" s="1"/>
  <c r="G4" i="17"/>
  <c r="H4" i="17" s="1"/>
  <c r="G10" i="25"/>
  <c r="H10" i="25" s="1"/>
  <c r="G4" i="26"/>
  <c r="H4" i="26" s="1"/>
  <c r="G7" i="25"/>
  <c r="H7" i="25" s="1"/>
  <c r="G11" i="13"/>
  <c r="H11" i="13" s="1"/>
  <c r="G8" i="25"/>
  <c r="H8" i="25" s="1"/>
  <c r="G9" i="25"/>
  <c r="H9" i="25" s="1"/>
  <c r="G6" i="25"/>
  <c r="F15" i="26"/>
  <c r="H12" i="26"/>
  <c r="H14" i="26"/>
  <c r="H5" i="26"/>
  <c r="H7" i="26"/>
  <c r="H13" i="26"/>
  <c r="H12" i="25"/>
  <c r="F14" i="25"/>
  <c r="I7" i="25" s="1"/>
  <c r="H4" i="25"/>
  <c r="I13" i="25"/>
  <c r="I12" i="25"/>
  <c r="I6" i="25"/>
  <c r="I4" i="25"/>
  <c r="D19" i="25"/>
  <c r="D20" i="25" s="1"/>
  <c r="I10" i="25"/>
  <c r="I8" i="25"/>
  <c r="I5" i="25"/>
  <c r="H13" i="25"/>
  <c r="I9" i="25"/>
  <c r="G5" i="19"/>
  <c r="H5" i="19" s="1"/>
  <c r="G8" i="19"/>
  <c r="H8" i="19" s="1"/>
  <c r="G9" i="19"/>
  <c r="H9" i="19" s="1"/>
  <c r="G9" i="15"/>
  <c r="H9" i="15" s="1"/>
  <c r="G5" i="8"/>
  <c r="H5" i="8" s="1"/>
  <c r="G6" i="6"/>
  <c r="H6" i="6" s="1"/>
  <c r="G4" i="19"/>
  <c r="H4" i="19" s="1"/>
  <c r="G5" i="13"/>
  <c r="K5" i="13" s="1"/>
  <c r="F33" i="1"/>
  <c r="I33" i="1" s="1"/>
  <c r="G6" i="9"/>
  <c r="K6" i="9" s="1"/>
  <c r="G7" i="19"/>
  <c r="K7" i="19" s="1"/>
  <c r="G9" i="18"/>
  <c r="H9" i="18" s="1"/>
  <c r="F48" i="1"/>
  <c r="I48" i="1" s="1"/>
  <c r="G10" i="11"/>
  <c r="H10" i="11" s="1"/>
  <c r="H13" i="2"/>
  <c r="H7" i="24"/>
  <c r="F14" i="24"/>
  <c r="H4" i="24"/>
  <c r="H14" i="24" s="1"/>
  <c r="F14" i="23"/>
  <c r="H4" i="23"/>
  <c r="H14" i="23" s="1"/>
  <c r="H13" i="22"/>
  <c r="H12" i="22"/>
  <c r="H11" i="22"/>
  <c r="H10" i="22"/>
  <c r="H9" i="22"/>
  <c r="H8" i="22"/>
  <c r="H7" i="22"/>
  <c r="H6" i="22"/>
  <c r="H5" i="22"/>
  <c r="G14" i="22"/>
  <c r="F14" i="22"/>
  <c r="H4" i="22"/>
  <c r="I7" i="19"/>
  <c r="I11" i="19"/>
  <c r="I13" i="19"/>
  <c r="I9" i="19"/>
  <c r="J13" i="19"/>
  <c r="K13" i="19" s="1"/>
  <c r="J11" i="19"/>
  <c r="K11" i="19" s="1"/>
  <c r="J9" i="19"/>
  <c r="J7" i="19"/>
  <c r="J6" i="19"/>
  <c r="J4" i="19"/>
  <c r="I5" i="19"/>
  <c r="J5" i="19" s="1"/>
  <c r="H10" i="19"/>
  <c r="I4" i="19"/>
  <c r="I6" i="19"/>
  <c r="I8" i="19"/>
  <c r="J8" i="19" s="1"/>
  <c r="I10" i="19"/>
  <c r="J10" i="19" s="1"/>
  <c r="K10" i="19" s="1"/>
  <c r="I12" i="19"/>
  <c r="J12" i="19" s="1"/>
  <c r="K12" i="19" s="1"/>
  <c r="H12" i="19"/>
  <c r="C5" i="19"/>
  <c r="C7" i="19"/>
  <c r="C9" i="19"/>
  <c r="C11" i="19"/>
  <c r="C13" i="19"/>
  <c r="H11" i="19"/>
  <c r="H13" i="19"/>
  <c r="H28" i="2"/>
  <c r="G6" i="18"/>
  <c r="H6" i="18" s="1"/>
  <c r="H12" i="18"/>
  <c r="G4" i="9"/>
  <c r="H4" i="9" s="1"/>
  <c r="G7" i="18"/>
  <c r="H7" i="18" s="1"/>
  <c r="G5" i="6"/>
  <c r="H5" i="6" s="1"/>
  <c r="D7" i="1"/>
  <c r="G7" i="1" s="1"/>
  <c r="G7" i="12"/>
  <c r="H7" i="12" s="1"/>
  <c r="G8" i="18"/>
  <c r="H8" i="18" s="1"/>
  <c r="H12" i="2"/>
  <c r="G4" i="18"/>
  <c r="H4" i="18" s="1"/>
  <c r="G5" i="18"/>
  <c r="H5" i="18" s="1"/>
  <c r="F14" i="18"/>
  <c r="D19" i="18" s="1"/>
  <c r="D20" i="18" s="1"/>
  <c r="H10" i="18"/>
  <c r="C5" i="18"/>
  <c r="C7" i="18"/>
  <c r="C9" i="18"/>
  <c r="C11" i="18"/>
  <c r="C13" i="18"/>
  <c r="H11" i="18"/>
  <c r="H13" i="18"/>
  <c r="G10" i="6"/>
  <c r="H10" i="6" s="1"/>
  <c r="H11" i="2"/>
  <c r="G9" i="14"/>
  <c r="H9" i="14" s="1"/>
  <c r="H10" i="2"/>
  <c r="H25" i="2"/>
  <c r="G12" i="15"/>
  <c r="K12" i="15" s="1"/>
  <c r="F23" i="1"/>
  <c r="I23" i="1" s="1"/>
  <c r="F37" i="1"/>
  <c r="I37" i="1" s="1"/>
  <c r="G4" i="13"/>
  <c r="H4" i="13" s="1"/>
  <c r="F52" i="1"/>
  <c r="I52" i="1" s="1"/>
  <c r="G10" i="8"/>
  <c r="K10" i="8" s="1"/>
  <c r="G12" i="13"/>
  <c r="K12" i="13" s="1"/>
  <c r="G10" i="14"/>
  <c r="K10" i="14" s="1"/>
  <c r="F14" i="17"/>
  <c r="D19" i="17" s="1"/>
  <c r="D20" i="17" s="1"/>
  <c r="K13" i="9"/>
  <c r="F47" i="1"/>
  <c r="I47" i="1" s="1"/>
  <c r="F19" i="1"/>
  <c r="I19" i="1" s="1"/>
  <c r="G8" i="13"/>
  <c r="H8" i="13" s="1"/>
  <c r="G5" i="15"/>
  <c r="K5" i="15" s="1"/>
  <c r="G7" i="13"/>
  <c r="K7" i="13" s="1"/>
  <c r="D8" i="1"/>
  <c r="G8" i="1" s="1"/>
  <c r="G4" i="11"/>
  <c r="H4" i="11" s="1"/>
  <c r="G7" i="7"/>
  <c r="H7" i="7" s="1"/>
  <c r="G5" i="12"/>
  <c r="K5" i="12" s="1"/>
  <c r="H14" i="2"/>
  <c r="G7" i="17"/>
  <c r="H7" i="17" s="1"/>
  <c r="G7" i="11"/>
  <c r="H7" i="11" s="1"/>
  <c r="H31" i="2"/>
  <c r="G5" i="5"/>
  <c r="H5" i="5" s="1"/>
  <c r="D5" i="1"/>
  <c r="G5" i="1" s="1"/>
  <c r="G7" i="14"/>
  <c r="K7" i="14" s="1"/>
  <c r="G7" i="8"/>
  <c r="H7" i="8" s="1"/>
  <c r="F35" i="1"/>
  <c r="I35" i="1" s="1"/>
  <c r="G8" i="12"/>
  <c r="H8" i="12" s="1"/>
  <c r="F34" i="1"/>
  <c r="I34" i="1" s="1"/>
  <c r="G6" i="17"/>
  <c r="H6" i="17" s="1"/>
  <c r="G6" i="14"/>
  <c r="K6" i="14" s="1"/>
  <c r="F21" i="1"/>
  <c r="I21" i="1" s="1"/>
  <c r="G8" i="9"/>
  <c r="K8" i="9" s="1"/>
  <c r="H24" i="2"/>
  <c r="G8" i="15"/>
  <c r="K8" i="15" s="1"/>
  <c r="G4" i="16"/>
  <c r="H4" i="16" s="1"/>
  <c r="F20" i="1"/>
  <c r="I20" i="1" s="1"/>
  <c r="F32" i="1"/>
  <c r="I32" i="1" s="1"/>
  <c r="F49" i="1"/>
  <c r="I49" i="1" s="1"/>
  <c r="G4" i="7"/>
  <c r="H4" i="7" s="1"/>
  <c r="H20" i="2"/>
  <c r="G6" i="5"/>
  <c r="H6" i="5" s="1"/>
  <c r="F50" i="1"/>
  <c r="I50" i="1" s="1"/>
  <c r="H12" i="14"/>
  <c r="G6" i="15"/>
  <c r="G8" i="6"/>
  <c r="K8" i="6" s="1"/>
  <c r="G6" i="11"/>
  <c r="H6" i="11" s="1"/>
  <c r="G6" i="7"/>
  <c r="H6" i="7" s="1"/>
  <c r="G4" i="14"/>
  <c r="K4" i="14" s="1"/>
  <c r="G11" i="15"/>
  <c r="K11" i="15" s="1"/>
  <c r="G6" i="8"/>
  <c r="K6" i="8" s="1"/>
  <c r="G6" i="13"/>
  <c r="K6" i="13" s="1"/>
  <c r="G6" i="16"/>
  <c r="H6" i="16" s="1"/>
  <c r="G8" i="11"/>
  <c r="K8" i="11" s="1"/>
  <c r="D4" i="1"/>
  <c r="G4" i="1" s="1"/>
  <c r="G7" i="5"/>
  <c r="K7" i="5" s="1"/>
  <c r="D6" i="1"/>
  <c r="G6" i="1" s="1"/>
  <c r="H13" i="11"/>
  <c r="K13" i="5"/>
  <c r="H12" i="7"/>
  <c r="H13" i="7"/>
  <c r="K12" i="9"/>
  <c r="K12" i="5"/>
  <c r="H11" i="8"/>
  <c r="H8" i="8"/>
  <c r="H10" i="13"/>
  <c r="K12" i="8"/>
  <c r="H12" i="11"/>
  <c r="H13" i="14"/>
  <c r="H11" i="7"/>
  <c r="H11" i="12"/>
  <c r="K13" i="6"/>
  <c r="K11" i="14"/>
  <c r="H11" i="6"/>
  <c r="K11" i="11"/>
  <c r="H12" i="12"/>
  <c r="K10" i="5"/>
  <c r="K13" i="13"/>
  <c r="K10" i="9"/>
  <c r="H10" i="9"/>
  <c r="H10" i="15"/>
  <c r="K10" i="15"/>
  <c r="K4" i="12"/>
  <c r="H4" i="12"/>
  <c r="K13" i="15"/>
  <c r="H13" i="15"/>
  <c r="K7" i="9"/>
  <c r="H7" i="9"/>
  <c r="H9" i="9"/>
  <c r="K9" i="9"/>
  <c r="K11" i="9"/>
  <c r="H11" i="9"/>
  <c r="H8" i="7"/>
  <c r="K8" i="7"/>
  <c r="F36" i="1"/>
  <c r="I36" i="1" s="1"/>
  <c r="F22" i="1"/>
  <c r="I22" i="1" s="1"/>
  <c r="H13" i="8"/>
  <c r="H22" i="2"/>
  <c r="G4" i="15"/>
  <c r="G8" i="16"/>
  <c r="H8" i="16" s="1"/>
  <c r="G8" i="14"/>
  <c r="K7" i="6"/>
  <c r="G9" i="5"/>
  <c r="G9" i="11"/>
  <c r="G9" i="16"/>
  <c r="H9" i="16" s="1"/>
  <c r="H11" i="5"/>
  <c r="G9" i="13"/>
  <c r="H10" i="7"/>
  <c r="F51" i="1"/>
  <c r="I51" i="1" s="1"/>
  <c r="G9" i="6"/>
  <c r="F46" i="1"/>
  <c r="K13" i="12"/>
  <c r="G5" i="11"/>
  <c r="G4" i="6"/>
  <c r="H8" i="2"/>
  <c r="G7" i="15"/>
  <c r="H12" i="6"/>
  <c r="G9" i="12"/>
  <c r="G8" i="17"/>
  <c r="H8" i="17" s="1"/>
  <c r="H6" i="2"/>
  <c r="G8" i="5"/>
  <c r="G5" i="9"/>
  <c r="G9" i="8"/>
  <c r="G5" i="7"/>
  <c r="G9" i="17"/>
  <c r="H9" i="17" s="1"/>
  <c r="G10" i="12"/>
  <c r="G9" i="7"/>
  <c r="G5" i="14"/>
  <c r="G4" i="5"/>
  <c r="D9" i="1"/>
  <c r="G9" i="1" s="1"/>
  <c r="F18" i="1"/>
  <c r="G4" i="8"/>
  <c r="G6" i="12"/>
  <c r="H10" i="17"/>
  <c r="H12" i="17"/>
  <c r="C5" i="17"/>
  <c r="C7" i="17"/>
  <c r="C11" i="17"/>
  <c r="C13" i="17"/>
  <c r="H5" i="17"/>
  <c r="H11" i="17"/>
  <c r="H13" i="17"/>
  <c r="F14" i="16"/>
  <c r="D19" i="16" s="1"/>
  <c r="D20" i="16" s="1"/>
  <c r="H10" i="16"/>
  <c r="H12" i="16"/>
  <c r="C5" i="16"/>
  <c r="C7" i="16"/>
  <c r="C9" i="16"/>
  <c r="C11" i="16"/>
  <c r="C13" i="16"/>
  <c r="H5" i="16"/>
  <c r="H7" i="16"/>
  <c r="H11" i="16"/>
  <c r="H13" i="16"/>
  <c r="I12" i="26" l="1"/>
  <c r="I9" i="26"/>
  <c r="G14" i="25"/>
  <c r="H6" i="25"/>
  <c r="H14" i="25" s="1"/>
  <c r="E22" i="25" s="1"/>
  <c r="E24" i="25" s="1"/>
  <c r="E25" i="25" s="1"/>
  <c r="G15" i="26"/>
  <c r="K5" i="19"/>
  <c r="K11" i="13"/>
  <c r="K6" i="19"/>
  <c r="I10" i="26"/>
  <c r="I14" i="26"/>
  <c r="I5" i="26"/>
  <c r="I7" i="26"/>
  <c r="H6" i="9"/>
  <c r="K6" i="6"/>
  <c r="K9" i="15"/>
  <c r="K8" i="19"/>
  <c r="K9" i="19"/>
  <c r="H15" i="26"/>
  <c r="E23" i="26" s="1"/>
  <c r="E25" i="26" s="1"/>
  <c r="E26" i="26" s="1"/>
  <c r="I11" i="26"/>
  <c r="I13" i="26"/>
  <c r="D20" i="26"/>
  <c r="D21" i="26" s="1"/>
  <c r="J9" i="26" s="1"/>
  <c r="K9" i="26" s="1"/>
  <c r="I8" i="26"/>
  <c r="I4" i="26"/>
  <c r="I6" i="26"/>
  <c r="H5" i="13"/>
  <c r="K4" i="19"/>
  <c r="K5" i="8"/>
  <c r="K10" i="11"/>
  <c r="I11" i="25"/>
  <c r="J11" i="25" s="1"/>
  <c r="K11" i="25" s="1"/>
  <c r="J10" i="25"/>
  <c r="K10" i="25" s="1"/>
  <c r="J6" i="25"/>
  <c r="K6" i="25" s="1"/>
  <c r="J12" i="25"/>
  <c r="K12" i="25" s="1"/>
  <c r="J4" i="25"/>
  <c r="K4" i="25" s="1"/>
  <c r="J13" i="25"/>
  <c r="K13" i="25" s="1"/>
  <c r="J9" i="25"/>
  <c r="K9" i="25" s="1"/>
  <c r="J7" i="25"/>
  <c r="K7" i="25" s="1"/>
  <c r="J5" i="25"/>
  <c r="K5" i="25" s="1"/>
  <c r="J8" i="25"/>
  <c r="K8" i="25" s="1"/>
  <c r="K5" i="6"/>
  <c r="G14" i="19"/>
  <c r="H7" i="19"/>
  <c r="H14" i="19" s="1"/>
  <c r="E22" i="19" s="1"/>
  <c r="E24" i="19" s="1"/>
  <c r="E25" i="19" s="1"/>
  <c r="E24" i="24"/>
  <c r="E25" i="24" s="1"/>
  <c r="D17" i="23"/>
  <c r="E22" i="23"/>
  <c r="E24" i="23" s="1"/>
  <c r="E25" i="23" s="1"/>
  <c r="H14" i="22"/>
  <c r="E24" i="22" s="1"/>
  <c r="E25" i="22" s="1"/>
  <c r="I14" i="19"/>
  <c r="J14" i="19" s="1"/>
  <c r="K4" i="9"/>
  <c r="H12" i="15"/>
  <c r="K9" i="14"/>
  <c r="K7" i="12"/>
  <c r="G14" i="18"/>
  <c r="I12" i="18"/>
  <c r="J12" i="18" s="1"/>
  <c r="K12" i="18" s="1"/>
  <c r="I8" i="18"/>
  <c r="J8" i="18" s="1"/>
  <c r="K8" i="18" s="1"/>
  <c r="I6" i="18"/>
  <c r="J6" i="18" s="1"/>
  <c r="K6" i="18" s="1"/>
  <c r="I4" i="18"/>
  <c r="J4" i="18" s="1"/>
  <c r="K4" i="18" s="1"/>
  <c r="I13" i="18"/>
  <c r="J13" i="18" s="1"/>
  <c r="K13" i="18" s="1"/>
  <c r="I5" i="18"/>
  <c r="J5" i="18" s="1"/>
  <c r="K5" i="18" s="1"/>
  <c r="I10" i="18"/>
  <c r="J10" i="18" s="1"/>
  <c r="K10" i="18" s="1"/>
  <c r="H14" i="18"/>
  <c r="I11" i="18"/>
  <c r="J11" i="18" s="1"/>
  <c r="K11" i="18" s="1"/>
  <c r="I7" i="18"/>
  <c r="I9" i="18"/>
  <c r="J9" i="18" s="1"/>
  <c r="K9" i="18" s="1"/>
  <c r="K4" i="13"/>
  <c r="H12" i="13"/>
  <c r="H10" i="8"/>
  <c r="H10" i="14"/>
  <c r="K10" i="6"/>
  <c r="I9" i="17"/>
  <c r="J9" i="17" s="1"/>
  <c r="K9" i="17" s="1"/>
  <c r="I8" i="17"/>
  <c r="J8" i="17" s="1"/>
  <c r="K8" i="17" s="1"/>
  <c r="I13" i="17"/>
  <c r="J13" i="17" s="1"/>
  <c r="K13" i="17" s="1"/>
  <c r="I5" i="17"/>
  <c r="J5" i="17" s="1"/>
  <c r="K5" i="17" s="1"/>
  <c r="I12" i="17"/>
  <c r="J12" i="17" s="1"/>
  <c r="K12" i="17" s="1"/>
  <c r="I7" i="17"/>
  <c r="J7" i="17" s="1"/>
  <c r="K7" i="17" s="1"/>
  <c r="I11" i="17"/>
  <c r="J11" i="17" s="1"/>
  <c r="K11" i="17" s="1"/>
  <c r="I6" i="17"/>
  <c r="J6" i="17" s="1"/>
  <c r="K6" i="17" s="1"/>
  <c r="I10" i="17"/>
  <c r="J10" i="17" s="1"/>
  <c r="K10" i="17" s="1"/>
  <c r="I4" i="17"/>
  <c r="K8" i="13"/>
  <c r="H7" i="13"/>
  <c r="H6" i="13"/>
  <c r="K7" i="8"/>
  <c r="H8" i="6"/>
  <c r="H6" i="14"/>
  <c r="I39" i="1"/>
  <c r="K6" i="7"/>
  <c r="K6" i="5"/>
  <c r="K8" i="12"/>
  <c r="H5" i="15"/>
  <c r="K7" i="11"/>
  <c r="K4" i="11"/>
  <c r="K7" i="7"/>
  <c r="H8" i="15"/>
  <c r="H5" i="12"/>
  <c r="H7" i="5"/>
  <c r="H7" i="14"/>
  <c r="K6" i="11"/>
  <c r="K5" i="5"/>
  <c r="G14" i="13"/>
  <c r="H6" i="8"/>
  <c r="K4" i="7"/>
  <c r="G11" i="1"/>
  <c r="H6" i="15"/>
  <c r="K6" i="15"/>
  <c r="H11" i="15"/>
  <c r="H4" i="14"/>
  <c r="H8" i="11"/>
  <c r="H8" i="9"/>
  <c r="G14" i="17"/>
  <c r="H36" i="2"/>
  <c r="G14" i="11"/>
  <c r="K5" i="11"/>
  <c r="H5" i="11"/>
  <c r="K8" i="14"/>
  <c r="H8" i="14"/>
  <c r="I18" i="1"/>
  <c r="I25" i="1" s="1"/>
  <c r="H27" i="1" s="1"/>
  <c r="H28" i="1" s="1"/>
  <c r="F25" i="1"/>
  <c r="I46" i="1"/>
  <c r="I53" i="1" s="1"/>
  <c r="F53" i="1"/>
  <c r="K5" i="7"/>
  <c r="H5" i="7"/>
  <c r="G14" i="7"/>
  <c r="H6" i="12"/>
  <c r="K6" i="12"/>
  <c r="H9" i="6"/>
  <c r="K9" i="6"/>
  <c r="K4" i="15"/>
  <c r="H4" i="15"/>
  <c r="G14" i="15"/>
  <c r="D11" i="1"/>
  <c r="G14" i="12"/>
  <c r="H9" i="5"/>
  <c r="K9" i="5"/>
  <c r="K9" i="11"/>
  <c r="H9" i="11"/>
  <c r="H8" i="5"/>
  <c r="K8" i="5"/>
  <c r="H4" i="8"/>
  <c r="G14" i="8"/>
  <c r="K4" i="8"/>
  <c r="G14" i="16"/>
  <c r="G14" i="6"/>
  <c r="H4" i="6"/>
  <c r="K4" i="6"/>
  <c r="K9" i="12"/>
  <c r="H9" i="12"/>
  <c r="H9" i="8"/>
  <c r="K9" i="8"/>
  <c r="H5" i="9"/>
  <c r="K5" i="9"/>
  <c r="K9" i="7"/>
  <c r="H9" i="7"/>
  <c r="F39" i="1"/>
  <c r="G14" i="9"/>
  <c r="H9" i="13"/>
  <c r="K9" i="13"/>
  <c r="K10" i="12"/>
  <c r="H10" i="12"/>
  <c r="H4" i="5"/>
  <c r="K4" i="5"/>
  <c r="G14" i="5"/>
  <c r="H5" i="14"/>
  <c r="K5" i="14"/>
  <c r="G14" i="14"/>
  <c r="K7" i="15"/>
  <c r="H7" i="15"/>
  <c r="H14" i="17"/>
  <c r="E22" i="17" s="1"/>
  <c r="E24" i="17" s="1"/>
  <c r="E25" i="17" s="1"/>
  <c r="I7" i="16"/>
  <c r="J7" i="16" s="1"/>
  <c r="K7" i="16" s="1"/>
  <c r="I13" i="16"/>
  <c r="J13" i="16" s="1"/>
  <c r="K13" i="16" s="1"/>
  <c r="I5" i="16"/>
  <c r="J5" i="16" s="1"/>
  <c r="K5" i="16" s="1"/>
  <c r="I12" i="16"/>
  <c r="J12" i="16" s="1"/>
  <c r="K12" i="16" s="1"/>
  <c r="I11" i="16"/>
  <c r="J11" i="16" s="1"/>
  <c r="K11" i="16" s="1"/>
  <c r="I10" i="16"/>
  <c r="J10" i="16" s="1"/>
  <c r="K10" i="16" s="1"/>
  <c r="I8" i="16"/>
  <c r="J8" i="16" s="1"/>
  <c r="K8" i="16" s="1"/>
  <c r="I6" i="16"/>
  <c r="J6" i="16" s="1"/>
  <c r="K6" i="16" s="1"/>
  <c r="I4" i="16"/>
  <c r="J4" i="16" s="1"/>
  <c r="K4" i="16" s="1"/>
  <c r="I9" i="16"/>
  <c r="J9" i="16" s="1"/>
  <c r="K9" i="16" s="1"/>
  <c r="H14" i="16"/>
  <c r="K14" i="19" l="1"/>
  <c r="I15" i="26"/>
  <c r="J15" i="26" s="1"/>
  <c r="J14" i="26"/>
  <c r="K14" i="26" s="1"/>
  <c r="J11" i="26"/>
  <c r="K11" i="26" s="1"/>
  <c r="J12" i="26"/>
  <c r="K12" i="26" s="1"/>
  <c r="J13" i="26"/>
  <c r="K13" i="26" s="1"/>
  <c r="J7" i="26"/>
  <c r="K7" i="26" s="1"/>
  <c r="J5" i="26"/>
  <c r="K5" i="26" s="1"/>
  <c r="J10" i="26"/>
  <c r="K10" i="26" s="1"/>
  <c r="J8" i="26"/>
  <c r="K8" i="26" s="1"/>
  <c r="J6" i="26"/>
  <c r="K6" i="26" s="1"/>
  <c r="J4" i="26"/>
  <c r="K4" i="26" s="1"/>
  <c r="I14" i="25"/>
  <c r="J14" i="25" s="1"/>
  <c r="K14" i="25"/>
  <c r="K15" i="25" s="1"/>
  <c r="K14" i="9"/>
  <c r="I14" i="18"/>
  <c r="J14" i="18" s="1"/>
  <c r="J7" i="18"/>
  <c r="K7" i="18" s="1"/>
  <c r="K14" i="18" s="1"/>
  <c r="K14" i="13"/>
  <c r="H14" i="13"/>
  <c r="E22" i="13" s="1"/>
  <c r="E24" i="13" s="1"/>
  <c r="E25" i="13" s="1"/>
  <c r="I14" i="17"/>
  <c r="J14" i="17" s="1"/>
  <c r="J4" i="17"/>
  <c r="K4" i="17" s="1"/>
  <c r="K14" i="17" s="1"/>
  <c r="K14" i="6"/>
  <c r="H14" i="9"/>
  <c r="E22" i="9" s="1"/>
  <c r="E24" i="9" s="1"/>
  <c r="E25" i="9" s="1"/>
  <c r="H14" i="6"/>
  <c r="E22" i="6" s="1"/>
  <c r="E24" i="6" s="1"/>
  <c r="E25" i="6" s="1"/>
  <c r="H14" i="12"/>
  <c r="E22" i="12" s="1"/>
  <c r="E24" i="12" s="1"/>
  <c r="E25" i="12" s="1"/>
  <c r="K14" i="15"/>
  <c r="H14" i="15"/>
  <c r="E22" i="15" s="1"/>
  <c r="E24" i="15" s="1"/>
  <c r="E25" i="15" s="1"/>
  <c r="H14" i="5"/>
  <c r="E22" i="5" s="1"/>
  <c r="E24" i="5" s="1"/>
  <c r="E25" i="5" s="1"/>
  <c r="K14" i="12"/>
  <c r="J16" i="12" s="1"/>
  <c r="K14" i="14"/>
  <c r="H14" i="7"/>
  <c r="E22" i="7" s="1"/>
  <c r="E24" i="7" s="1"/>
  <c r="E25" i="7" s="1"/>
  <c r="K14" i="5"/>
  <c r="K14" i="7"/>
  <c r="E22" i="16"/>
  <c r="E24" i="16" s="1"/>
  <c r="E25" i="16" s="1"/>
  <c r="K14" i="8"/>
  <c r="H14" i="11"/>
  <c r="E22" i="11" s="1"/>
  <c r="E24" i="11" s="1"/>
  <c r="E25" i="11" s="1"/>
  <c r="H14" i="14"/>
  <c r="E22" i="14" s="1"/>
  <c r="E24" i="14" s="1"/>
  <c r="E25" i="14" s="1"/>
  <c r="H14" i="8"/>
  <c r="E22" i="8" s="1"/>
  <c r="E24" i="8" s="1"/>
  <c r="E25" i="8" s="1"/>
  <c r="K14" i="11"/>
  <c r="K14" i="16"/>
  <c r="I14" i="16"/>
  <c r="J14" i="16" s="1"/>
  <c r="E24" i="18" l="1"/>
  <c r="E25" i="18" s="1"/>
  <c r="K15" i="26"/>
  <c r="K16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tc={39EDB337-F92D-4542-8054-6F431EDF9CFE}</author>
  </authors>
  <commentList>
    <comment ref="K14" authorId="0" shapeId="0" xr:uid="{39EDB337-F92D-4542-8054-6F431EDF9C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tc={85F17B5A-5D4B-4A6D-9EE3-D5DAF7B12000}</author>
  </authors>
  <commentList>
    <comment ref="K15" authorId="0" shapeId="0" xr:uid="{85F17B5A-5D4B-4A6D-9EE3-D5DAF7B12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tc={64EC3735-3C54-4B64-8602-91B8CEEF7697}</author>
  </authors>
  <commentList>
    <comment ref="K14" authorId="0" shapeId="0" xr:uid="{64EC3735-3C54-4B64-8602-91B8CEEF76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tc={A8C040FD-DDE6-4067-872D-95D68B0433E8}</author>
  </authors>
  <commentList>
    <comment ref="K14" authorId="0" shapeId="0" xr:uid="{A8C040FD-DDE6-4067-872D-95D68B0433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tc={C2AAFFB4-23E0-4BD9-B54D-A201EEB0098E}</author>
    <author>tc={99C6C884-99DA-4ACB-A2F1-F228A9A475BC}</author>
    <author>tc={6820F9C0-5502-42C0-99D3-32B5CA716E3A}</author>
  </authors>
  <commentList>
    <comment ref="I25" authorId="0" shapeId="0" xr:uid="{C2AAFFB4-23E0-4BD9-B54D-A201EEB009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  <comment ref="E27" authorId="1" shapeId="0" xr:uid="{99C6C884-99DA-4ACB-A2F1-F228A9A475BC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de onzas</t>
      </text>
    </comment>
    <comment ref="E28" authorId="2" shapeId="0" xr:uid="{6820F9C0-5502-42C0-99D3-32B5CA716E3A}">
      <text>
        <t>[Threaded comment]
Your version of Excel allows you to read this threaded comment; however, any edits to it will get removed if the file is opened in a newer version of Excel. Learn more: https://go.microsoft.com/fwlink/?linkid=870924
Comment:
    Onzas/producción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tc={408DC500-D910-4381-824A-A16608A52CB0}</author>
  </authors>
  <commentList>
    <comment ref="K14" authorId="0" shapeId="0" xr:uid="{408DC500-D910-4381-824A-A16608A52C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tc={25A2BB4F-07A3-4D4A-965E-6F4A558D364A}</author>
  </authors>
  <commentList>
    <comment ref="K14" authorId="0" shapeId="0" xr:uid="{25A2BB4F-07A3-4D4A-965E-6F4A558D36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tc={BF193608-F07C-4E38-8200-457C1E767AA2}</author>
  </authors>
  <commentList>
    <comment ref="K14" authorId="0" shapeId="0" xr:uid="{BF193608-F07C-4E38-8200-457C1E76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tc={30A2E9C9-D6C1-44BD-992D-37B52B19E2C2}</author>
  </authors>
  <commentList>
    <comment ref="K14" authorId="0" shapeId="0" xr:uid="{30A2E9C9-D6C1-44BD-992D-37B52B19E2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tc={8DBB15AB-BCA0-4929-8CD0-B1C3163E837B}</author>
  </authors>
  <commentList>
    <comment ref="K14" authorId="0" shapeId="0" xr:uid="{8DBB15AB-BCA0-4929-8CD0-B1C3163E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tc={543159B0-E8E1-4589-AFB1-76290D8B7749}</author>
  </authors>
  <commentList>
    <comment ref="K14" authorId="0" shapeId="0" xr:uid="{543159B0-E8E1-4589-AFB1-76290D8B77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tc={266F6109-9D06-4E6E-9860-95A25861EE5B}</author>
  </authors>
  <commentList>
    <comment ref="K14" authorId="0" shapeId="0" xr:uid="{266F6109-9D06-4E6E-9860-95A25861EE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tc={83CB54BF-F720-410D-BBE6-2BA3ABD8220A}</author>
  </authors>
  <commentList>
    <comment ref="K14" authorId="0" shapeId="0" xr:uid="{83CB54BF-F720-410D-BBE6-2BA3ABD822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tc={03FBB456-34C8-4447-9233-46DD97FC4FCB}</author>
  </authors>
  <commentList>
    <comment ref="K14" authorId="0" shapeId="0" xr:uid="{03FBB456-34C8-4447-9233-46DD97FC4FC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tc={DB17D04F-1AA9-481E-88E6-7433DD46815A}</author>
  </authors>
  <commentList>
    <comment ref="K14" authorId="0" shapeId="0" xr:uid="{DB17D04F-1AA9-481E-88E6-7433DD4681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tc={E0EF1E8A-D1C5-4C2E-AE89-7D6B5736EF11}</author>
  </authors>
  <commentList>
    <comment ref="K14" authorId="0" shapeId="0" xr:uid="{E0EF1E8A-D1C5-4C2E-AE89-7D6B5736EF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tc={301EFC38-15C3-450D-9DDB-AB8AAA509B33}</author>
  </authors>
  <commentList>
    <comment ref="K14" authorId="0" shapeId="0" xr:uid="{301EFC38-15C3-450D-9DDB-AB8AAA509B33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</t>
      </text>
    </comment>
  </commentList>
</comments>
</file>

<file path=xl/sharedStrings.xml><?xml version="1.0" encoding="utf-8"?>
<sst xmlns="http://schemas.openxmlformats.org/spreadsheetml/2006/main" count="818" uniqueCount="181">
  <si>
    <t>Materia Prima</t>
  </si>
  <si>
    <t>Formula %</t>
  </si>
  <si>
    <t>Conversion (lb)</t>
  </si>
  <si>
    <t>Costo Q. por Lb o Unidad empeado (Lb X costo Unitario</t>
  </si>
  <si>
    <t>Proporcion de la formula (conversion LB/Total de conversion de ingredientes</t>
  </si>
  <si>
    <t xml:space="preserve">Costo Q por unidad de pan </t>
  </si>
  <si>
    <t>Harina Suave</t>
  </si>
  <si>
    <t>Azucar</t>
  </si>
  <si>
    <t>Levadura</t>
  </si>
  <si>
    <t>Royal</t>
  </si>
  <si>
    <t>Sal</t>
  </si>
  <si>
    <t>Manteca</t>
  </si>
  <si>
    <t>Agua</t>
  </si>
  <si>
    <t>Total</t>
  </si>
  <si>
    <t>Seguimiento del mercado - Materias Primas y Materiales de Empaque</t>
  </si>
  <si>
    <t>Materias Primas</t>
  </si>
  <si>
    <t>Nombre</t>
  </si>
  <si>
    <t>Presentación</t>
  </si>
  <si>
    <t>Cantidad</t>
  </si>
  <si>
    <t>Unidad</t>
  </si>
  <si>
    <t>Precio Q.</t>
  </si>
  <si>
    <t>Saco</t>
  </si>
  <si>
    <t>lb</t>
  </si>
  <si>
    <t>Huevos</t>
  </si>
  <si>
    <t>Vainilla</t>
  </si>
  <si>
    <t>Harina Dura</t>
  </si>
  <si>
    <t>saco</t>
  </si>
  <si>
    <t>caja</t>
  </si>
  <si>
    <t>palangana</t>
  </si>
  <si>
    <t>Carton</t>
  </si>
  <si>
    <t>CANELA</t>
  </si>
  <si>
    <t>LITRO</t>
  </si>
  <si>
    <t>TAPITAS</t>
  </si>
  <si>
    <t>UNIDADES</t>
  </si>
  <si>
    <t>BOLSA</t>
  </si>
  <si>
    <t>ONZAS</t>
  </si>
  <si>
    <t>Materiales de empaque</t>
  </si>
  <si>
    <t>Tipo</t>
  </si>
  <si>
    <t>Dimension (cm)</t>
  </si>
  <si>
    <t>Valor Q.</t>
  </si>
  <si>
    <t>Costo Unitario</t>
  </si>
  <si>
    <t>Bolsa 2 Lb</t>
  </si>
  <si>
    <t>Bolsa 5 Lb</t>
  </si>
  <si>
    <t>16X20</t>
  </si>
  <si>
    <t>23X20</t>
  </si>
  <si>
    <t>Bolsa Gabachita</t>
  </si>
  <si>
    <t>Gabachita</t>
  </si>
  <si>
    <t>#2</t>
  </si>
  <si>
    <t>Funda cubiletes</t>
  </si>
  <si>
    <t>#5</t>
  </si>
  <si>
    <t>Funda Cub. Rojo</t>
  </si>
  <si>
    <t>Funda Cub. Blanco</t>
  </si>
  <si>
    <t>Producción de Manteca</t>
  </si>
  <si>
    <t>Con esta fórmiula puedo producir</t>
  </si>
  <si>
    <t>PVP</t>
  </si>
  <si>
    <t>Panes Dulces Diarios</t>
  </si>
  <si>
    <t>Producción Mensual</t>
  </si>
  <si>
    <t>Venta Mensual Q.</t>
  </si>
  <si>
    <t>Formula para una unidad de (1.01 Onza)</t>
  </si>
  <si>
    <t>sal</t>
  </si>
  <si>
    <t>Libras</t>
  </si>
  <si>
    <t>Onzas</t>
  </si>
  <si>
    <t>Tostado</t>
  </si>
  <si>
    <t>Frances</t>
  </si>
  <si>
    <t>Pan Frances</t>
  </si>
  <si>
    <t>agua</t>
  </si>
  <si>
    <t>Ganancia Diaria</t>
  </si>
  <si>
    <t>Total de Onzas</t>
  </si>
  <si>
    <t>Onzas por pan</t>
  </si>
  <si>
    <t>Costo *Lb</t>
  </si>
  <si>
    <t>Venta Total Diaria</t>
  </si>
  <si>
    <t>Costo Total Diario</t>
  </si>
  <si>
    <t>% de ganancia</t>
  </si>
  <si>
    <t>Manteca 5 libras</t>
  </si>
  <si>
    <t>Frances 10 Libras</t>
  </si>
  <si>
    <t>Harina suave</t>
  </si>
  <si>
    <t>Banano</t>
  </si>
  <si>
    <t>unidad</t>
  </si>
  <si>
    <t>unidades</t>
  </si>
  <si>
    <t>banano</t>
  </si>
  <si>
    <t>Margarina</t>
  </si>
  <si>
    <t>libras</t>
  </si>
  <si>
    <t>Cubilites de Banano</t>
  </si>
  <si>
    <t>huevos</t>
  </si>
  <si>
    <t>harina suave</t>
  </si>
  <si>
    <t>aceite</t>
  </si>
  <si>
    <t>leche</t>
  </si>
  <si>
    <t>royal</t>
  </si>
  <si>
    <t>Leche</t>
  </si>
  <si>
    <t>Litro</t>
  </si>
  <si>
    <t>Lt</t>
  </si>
  <si>
    <t>botella</t>
  </si>
  <si>
    <t>chantilli</t>
  </si>
  <si>
    <t>bolsa</t>
  </si>
  <si>
    <t>onzas</t>
  </si>
  <si>
    <t>mermelada</t>
  </si>
  <si>
    <t>frasco</t>
  </si>
  <si>
    <t>Margarina Industrial</t>
  </si>
  <si>
    <t>Chocolate</t>
  </si>
  <si>
    <t>Chispitas</t>
  </si>
  <si>
    <t>Canela</t>
  </si>
  <si>
    <t>Margarina de Hojaldre</t>
  </si>
  <si>
    <t>Margarina de hojaldre</t>
  </si>
  <si>
    <t>rellenos</t>
  </si>
  <si>
    <t>Rellenos</t>
  </si>
  <si>
    <t>Precio Q por LB o Unidad</t>
  </si>
  <si>
    <t>Antes</t>
  </si>
  <si>
    <t>azucar</t>
  </si>
  <si>
    <t>bicarbonato</t>
  </si>
  <si>
    <t>Bicarbonato</t>
  </si>
  <si>
    <t>vainilla</t>
  </si>
  <si>
    <t>Brazo Gitano</t>
  </si>
  <si>
    <t>levadura</t>
  </si>
  <si>
    <t>MArgarina industrial</t>
  </si>
  <si>
    <t>SHUCOS</t>
  </si>
  <si>
    <t>Empanadas Flo y Marce</t>
  </si>
  <si>
    <t>Harina Suave Flo</t>
  </si>
  <si>
    <t>Lb</t>
  </si>
  <si>
    <t>Mermelada Piña</t>
  </si>
  <si>
    <t>Crema pastelera</t>
  </si>
  <si>
    <t>Bolsa</t>
  </si>
  <si>
    <t>Crema Pastelera</t>
  </si>
  <si>
    <t>Margarina industrial</t>
  </si>
  <si>
    <t>Carne</t>
  </si>
  <si>
    <t>colorante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</si>
  <si>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</si>
  <si>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</si>
  <si>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</si>
  <si>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</si>
  <si>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</si>
  <si>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</si>
  <si>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</si>
  <si>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</si>
  <si>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</si>
  <si>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</si>
  <si>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</si>
  <si>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</si>
  <si>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Producto</t>
  </si>
  <si>
    <t>Harina</t>
  </si>
  <si>
    <t>Manteca y mermelada</t>
  </si>
  <si>
    <t>Pago</t>
  </si>
  <si>
    <t>Debe</t>
  </si>
  <si>
    <t>PAgo</t>
  </si>
  <si>
    <t>Total Debe</t>
  </si>
  <si>
    <t>Pago Atrasado</t>
  </si>
  <si>
    <t>Fixa Plus</t>
  </si>
  <si>
    <t>propilenglicol</t>
  </si>
  <si>
    <t>Galon</t>
  </si>
  <si>
    <t>Mililitro</t>
  </si>
  <si>
    <t>MIlilitro</t>
  </si>
  <si>
    <t>Frasco 50 Ml</t>
  </si>
  <si>
    <t>Frasco</t>
  </si>
  <si>
    <t>Frasco 100 ML</t>
  </si>
  <si>
    <t>Frasco Individual</t>
  </si>
  <si>
    <t xml:space="preserve">Fragancia </t>
  </si>
  <si>
    <t>Mililitros</t>
  </si>
  <si>
    <t>Fragancia Arabe</t>
  </si>
  <si>
    <t xml:space="preserve">Bote </t>
  </si>
  <si>
    <t>Bote</t>
  </si>
  <si>
    <t>mililitros</t>
  </si>
  <si>
    <t>Costo Q. por ml o Unidad empeado</t>
  </si>
  <si>
    <t>Fragancias de 50 ML</t>
  </si>
  <si>
    <t>Costo Prod.</t>
  </si>
  <si>
    <t>Precio Venta</t>
  </si>
  <si>
    <t>Fragancia Individual</t>
  </si>
  <si>
    <t>Costo *ml</t>
  </si>
  <si>
    <t>manteca</t>
  </si>
  <si>
    <t>jamon</t>
  </si>
  <si>
    <t>Jamon</t>
  </si>
  <si>
    <t>croosaint</t>
  </si>
  <si>
    <t>salpor</t>
  </si>
  <si>
    <t>Salpor</t>
  </si>
  <si>
    <t>margarina</t>
  </si>
  <si>
    <t>Pirujo 10 Libras</t>
  </si>
  <si>
    <t>Pañuelitos</t>
  </si>
  <si>
    <t>Donas</t>
  </si>
  <si>
    <t>Pan frances tipo torta</t>
  </si>
  <si>
    <t>Preparación:</t>
  </si>
  <si>
    <t>Roscas de color</t>
  </si>
  <si>
    <t>libra</t>
  </si>
  <si>
    <t>Libra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</si>
</sst>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_-[$Q-100A]* #,##0.00_-;\-[$Q-100A]* #,##0.00_-;_-[$Q-100A]* &quot;-&quot;??_-;_-@_-"/>
    <numFmt numFmtId="166" formatCode="0.0000"/>
    <numFmt numFmtId="167" formatCode="_-[$Q-100A]* #,##0.000000_-;\-[$Q-100A]* #,##0.000000_-;_-[$Q-100A]* &quot;-&quot;??_-;_-@_-"/>
    <numFmt numFmtId="168" formatCode="_-[$Q-100A]* #,##0.0000_-;\-[$Q-100A]* #,##0.0000_-;_-[$Q-100A]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0" borderId="0" xfId="1" applyFont="1" applyFill="1"/>
    <xf numFmtId="0" fontId="0" fillId="0" borderId="0" xfId="0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0" fillId="0" borderId="1" xfId="1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5" fillId="3" borderId="0" xfId="0" applyFont="1" applyFill="1"/>
    <xf numFmtId="166" fontId="0" fillId="0" borderId="1" xfId="0" applyNumberFormat="1" applyBorder="1" applyAlignment="1">
      <alignment horizontal="center" vertical="center"/>
    </xf>
    <xf numFmtId="2" fontId="5" fillId="3" borderId="0" xfId="0" applyNumberFormat="1" applyFont="1" applyFill="1"/>
    <xf numFmtId="1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6" fillId="2" borderId="0" xfId="0" applyFont="1" applyFill="1"/>
    <xf numFmtId="0" fontId="5" fillId="4" borderId="0" xfId="0" applyFont="1" applyFill="1"/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  <xf numFmtId="2" fontId="0" fillId="4" borderId="0" xfId="0" applyNumberFormat="1" applyFill="1"/>
    <xf numFmtId="0" fontId="0" fillId="4" borderId="1" xfId="0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0" fillId="4" borderId="1" xfId="1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5" fontId="0" fillId="4" borderId="0" xfId="0" applyNumberFormat="1" applyFill="1"/>
    <xf numFmtId="0" fontId="0" fillId="4" borderId="0" xfId="0" applyFill="1" applyAlignment="1">
      <alignment horizontal="center"/>
    </xf>
    <xf numFmtId="9" fontId="0" fillId="4" borderId="0" xfId="1" applyFont="1" applyFill="1"/>
    <xf numFmtId="0" fontId="4" fillId="4" borderId="1" xfId="0" applyFont="1" applyFill="1" applyBorder="1" applyAlignment="1">
      <alignment wrapText="1"/>
    </xf>
    <xf numFmtId="0" fontId="0" fillId="4" borderId="1" xfId="0" applyFill="1" applyBorder="1"/>
    <xf numFmtId="165" fontId="0" fillId="4" borderId="1" xfId="0" applyNumberFormat="1" applyFill="1" applyBorder="1"/>
    <xf numFmtId="0" fontId="0" fillId="4" borderId="2" xfId="0" applyFill="1" applyBorder="1"/>
    <xf numFmtId="0" fontId="0" fillId="4" borderId="3" xfId="0" applyFill="1" applyBorder="1"/>
    <xf numFmtId="165" fontId="0" fillId="4" borderId="4" xfId="0" applyNumberFormat="1" applyFill="1" applyBorder="1"/>
    <xf numFmtId="0" fontId="0" fillId="4" borderId="5" xfId="0" applyFill="1" applyBorder="1"/>
    <xf numFmtId="165" fontId="0" fillId="4" borderId="6" xfId="0" applyNumberFormat="1" applyFill="1" applyBorder="1"/>
    <xf numFmtId="0" fontId="0" fillId="4" borderId="7" xfId="0" applyFill="1" applyBorder="1"/>
    <xf numFmtId="165" fontId="0" fillId="4" borderId="9" xfId="0" applyNumberFormat="1" applyFill="1" applyBorder="1"/>
    <xf numFmtId="0" fontId="3" fillId="4" borderId="2" xfId="0" applyFont="1" applyFill="1" applyBorder="1"/>
    <xf numFmtId="0" fontId="0" fillId="4" borderId="4" xfId="0" applyFill="1" applyBorder="1"/>
    <xf numFmtId="0" fontId="3" fillId="4" borderId="7" xfId="0" applyFont="1" applyFill="1" applyBorder="1"/>
    <xf numFmtId="2" fontId="0" fillId="4" borderId="9" xfId="0" applyNumberFormat="1" applyFill="1" applyBorder="1"/>
    <xf numFmtId="0" fontId="0" fillId="4" borderId="2" xfId="0" applyFill="1" applyBorder="1" applyAlignment="1">
      <alignment wrapText="1"/>
    </xf>
    <xf numFmtId="0" fontId="0" fillId="4" borderId="5" xfId="0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9" fontId="0" fillId="4" borderId="15" xfId="1" applyFont="1" applyFill="1" applyBorder="1" applyAlignment="1">
      <alignment horizontal="center" vertical="center"/>
    </xf>
    <xf numFmtId="0" fontId="0" fillId="4" borderId="15" xfId="1" applyNumberFormat="1" applyFon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5" fontId="0" fillId="4" borderId="15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6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9" fontId="0" fillId="4" borderId="21" xfId="1" applyFont="1" applyFill="1" applyBorder="1" applyAlignment="1">
      <alignment horizontal="center" vertical="center"/>
    </xf>
    <xf numFmtId="0" fontId="0" fillId="4" borderId="21" xfId="1" applyNumberFormat="1" applyFont="1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center" vertical="center"/>
    </xf>
    <xf numFmtId="165" fontId="0" fillId="4" borderId="21" xfId="0" applyNumberFormat="1" applyFill="1" applyBorder="1" applyAlignment="1">
      <alignment horizontal="center" vertical="center"/>
    </xf>
    <xf numFmtId="2" fontId="0" fillId="4" borderId="21" xfId="0" applyNumberFormat="1" applyFill="1" applyBorder="1" applyAlignment="1">
      <alignment horizontal="center" vertical="center"/>
    </xf>
    <xf numFmtId="165" fontId="0" fillId="4" borderId="22" xfId="0" applyNumberForma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165" fontId="2" fillId="4" borderId="18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165" fontId="7" fillId="2" borderId="19" xfId="0" applyNumberFormat="1" applyFont="1" applyFill="1" applyBorder="1" applyAlignment="1">
      <alignment horizontal="center" vertical="center"/>
    </xf>
    <xf numFmtId="9" fontId="0" fillId="4" borderId="9" xfId="1" applyFont="1" applyFill="1" applyBorder="1"/>
    <xf numFmtId="167" fontId="0" fillId="4" borderId="16" xfId="0" applyNumberFormat="1" applyFill="1" applyBorder="1" applyAlignment="1">
      <alignment horizontal="center" vertical="center"/>
    </xf>
    <xf numFmtId="167" fontId="0" fillId="4" borderId="6" xfId="0" applyNumberFormat="1" applyFill="1" applyBorder="1" applyAlignment="1">
      <alignment horizontal="center" vertical="center"/>
    </xf>
    <xf numFmtId="167" fontId="0" fillId="4" borderId="22" xfId="0" applyNumberFormat="1" applyFill="1" applyBorder="1" applyAlignment="1">
      <alignment horizontal="center" vertical="center"/>
    </xf>
    <xf numFmtId="167" fontId="7" fillId="2" borderId="19" xfId="0" applyNumberFormat="1" applyFont="1" applyFill="1" applyBorder="1" applyAlignment="1">
      <alignment horizontal="center" vertical="center"/>
    </xf>
    <xf numFmtId="0" fontId="0" fillId="0" borderId="24" xfId="0" applyBorder="1"/>
    <xf numFmtId="16" fontId="0" fillId="4" borderId="0" xfId="0" applyNumberFormat="1" applyFill="1"/>
    <xf numFmtId="14" fontId="0" fillId="0" borderId="0" xfId="0" applyNumberFormat="1"/>
    <xf numFmtId="0" fontId="3" fillId="4" borderId="0" xfId="0" applyFont="1" applyFill="1"/>
    <xf numFmtId="0" fontId="0" fillId="4" borderId="0" xfId="0" applyFill="1" applyAlignment="1">
      <alignment wrapText="1"/>
    </xf>
    <xf numFmtId="168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2" fillId="4" borderId="10" xfId="0" applyNumberFormat="1" applyFont="1" applyFill="1" applyBorder="1" applyAlignment="1">
      <alignment horizontal="center" vertical="center"/>
    </xf>
    <xf numFmtId="14" fontId="2" fillId="4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4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ltran, Luis" id="{94EAEC7D-DF88-4638-9759-3F0F4892851D}" userId="S::lbeltran@cempro.com::b73d930d-0c7b-4f3c-a1c5-1fedf3d156e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39EDB337-F92D-4542-8054-6F431EDF9CFE}">
    <text>Costo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5" dT="2025-06-01T22:11:19.65" personId="{94EAEC7D-DF88-4638-9759-3F0F4892851D}" id="{85F17B5A-5D4B-4A6D-9EE3-D5DAF7B12000}">
    <text>Costo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64EC3735-3C54-4B64-8602-91B8CEEF7697}">
    <text>Costo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A8C040FD-DDE6-4067-872D-95D68B0433E8}">
    <text>Costo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25" dT="2025-06-01T22:11:19.65" personId="{94EAEC7D-DF88-4638-9759-3F0F4892851D}" id="{C2AAFFB4-23E0-4BD9-B54D-A201EEB0098E}">
    <text>Costo</text>
  </threadedComment>
  <threadedComment ref="E27" dT="2025-06-01T22:11:10.53" personId="{94EAEC7D-DF88-4638-9759-3F0F4892851D}" id="{99C6C884-99DA-4ACB-A2F1-F228A9A475BC}">
    <text>Total de onzas</text>
  </threadedComment>
  <threadedComment ref="E28" dT="2025-06-01T22:10:55.67" personId="{94EAEC7D-DF88-4638-9759-3F0F4892851D}" id="{6820F9C0-5502-42C0-99D3-32B5CA716E3A}">
    <text>Onzas/producción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408DC500-D910-4381-824A-A16608A52CB0}">
    <text>Costo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25A2BB4F-07A3-4D4A-965E-6F4A558D364A}">
    <text>Costo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BF193608-F07C-4E38-8200-457C1E767AA2}">
    <text>Costo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30A2E9C9-D6C1-44BD-992D-37B52B19E2C2}">
    <text>Costo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8DBB15AB-BCA0-4929-8CD0-B1C3163E837B}">
    <text>Costo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543159B0-E8E1-4589-AFB1-76290D8B7749}">
    <text>Costo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266F6109-9D06-4E6E-9860-95A25861EE5B}">
    <text>Costo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83CB54BF-F720-410D-BBE6-2BA3ABD8220A}">
    <text>Costo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03FBB456-34C8-4447-9233-46DD97FC4FCB}">
    <text>Costo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DB17D04F-1AA9-481E-88E6-7433DD46815A}">
    <text>Costo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E0EF1E8A-D1C5-4C2E-AE89-7D6B5736EF11}">
    <text>Costo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K14" dT="2025-06-01T22:11:19.65" personId="{94EAEC7D-DF88-4638-9759-3F0F4892851D}" id="{301EFC38-15C3-450D-9DDB-AB8AAA509B33}">
    <text>Costo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7BEE-C32D-40F2-8C91-31D6225443CF}">
  <sheetPr codeName="Sheet1"/>
  <dimension ref="B1:L25"/>
  <sheetViews>
    <sheetView topLeftCell="A11" workbookViewId="0">
      <selection activeCell="A20" sqref="A20"/>
    </sheetView>
  </sheetViews>
  <sheetFormatPr defaultColWidth="9.140625" defaultRowHeight="15" x14ac:dyDescent="0.25"/>
  <cols>
    <col min="1" max="1" width="9.140625" style="26"/>
    <col min="2" max="2" width="14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2" ht="15.75" thickBot="1" x14ac:dyDescent="0.3"/>
    <row r="2" spans="2:12" ht="15.75" thickBot="1" x14ac:dyDescent="0.3">
      <c r="B2" s="92" t="s">
        <v>74</v>
      </c>
      <c r="C2" s="93"/>
      <c r="D2" s="93"/>
      <c r="E2" s="93"/>
      <c r="F2" s="93"/>
      <c r="G2" s="93"/>
      <c r="H2" s="93"/>
      <c r="I2" s="93"/>
      <c r="J2" s="93"/>
      <c r="K2" s="94"/>
    </row>
    <row r="3" spans="2:12" ht="30.75" thickBot="1" x14ac:dyDescent="0.3">
      <c r="B3" s="62" t="s">
        <v>0</v>
      </c>
      <c r="C3" s="63" t="s">
        <v>1</v>
      </c>
      <c r="D3" s="63" t="s">
        <v>159</v>
      </c>
      <c r="E3" s="63" t="s">
        <v>96</v>
      </c>
      <c r="F3" s="64" t="s">
        <v>2</v>
      </c>
      <c r="G3" s="65" t="s">
        <v>160</v>
      </c>
      <c r="H3" s="65" t="s">
        <v>165</v>
      </c>
      <c r="I3" s="28"/>
    </row>
    <row r="4" spans="2:12" x14ac:dyDescent="0.25">
      <c r="B4" s="55" t="s">
        <v>145</v>
      </c>
      <c r="C4" s="56">
        <v>0.1</v>
      </c>
      <c r="D4" s="57">
        <v>10</v>
      </c>
      <c r="E4" s="57"/>
      <c r="F4" s="58">
        <f>D4+E4</f>
        <v>10</v>
      </c>
      <c r="G4" s="59">
        <f>IFERROR(VLOOKUP(B4,'MP perfume'!$A$6:$F$32,6,FALSE),0)</f>
        <v>1.8254287776337159E-2</v>
      </c>
      <c r="H4" s="59">
        <f>F4*G4</f>
        <v>0.18254287776337158</v>
      </c>
      <c r="I4" s="35"/>
    </row>
    <row r="5" spans="2:12" x14ac:dyDescent="0.25">
      <c r="B5" s="53" t="s">
        <v>146</v>
      </c>
      <c r="C5" s="30">
        <v>0.6</v>
      </c>
      <c r="D5" s="31">
        <v>60</v>
      </c>
      <c r="E5" s="31"/>
      <c r="F5" s="58">
        <f t="shared" ref="F5:F13" si="0">D5+E5</f>
        <v>60</v>
      </c>
      <c r="G5" s="59">
        <f>IFERROR(VLOOKUP(B5,'MP perfume'!$A$6:$F$32,6,FALSE),0)</f>
        <v>2.2454623169155696E-2</v>
      </c>
      <c r="H5" s="33">
        <f t="shared" ref="H5:H13" si="1">F5*G5</f>
        <v>1.3472773901493418</v>
      </c>
      <c r="I5" s="35"/>
      <c r="K5" s="35"/>
      <c r="L5" s="35"/>
    </row>
    <row r="6" spans="2:12" x14ac:dyDescent="0.25">
      <c r="B6" s="53" t="s">
        <v>156</v>
      </c>
      <c r="C6" s="30">
        <v>0.3</v>
      </c>
      <c r="D6" s="31">
        <v>30</v>
      </c>
      <c r="E6" s="31"/>
      <c r="F6" s="58">
        <f t="shared" si="0"/>
        <v>30</v>
      </c>
      <c r="G6" s="59">
        <f>IFERROR(VLOOKUP(B6,'MP perfume'!$A$6:$F$32,6,FALSE),0)</f>
        <v>0.93333333333333335</v>
      </c>
      <c r="H6" s="33">
        <f t="shared" si="1"/>
        <v>28</v>
      </c>
      <c r="I6" s="35"/>
      <c r="L6" s="35"/>
    </row>
    <row r="7" spans="2:12" x14ac:dyDescent="0.25">
      <c r="B7" s="53" t="s">
        <v>150</v>
      </c>
      <c r="C7" s="30"/>
      <c r="D7" s="31"/>
      <c r="E7" s="31">
        <v>1</v>
      </c>
      <c r="F7" s="58">
        <f t="shared" si="0"/>
        <v>1</v>
      </c>
      <c r="G7" s="59">
        <f>IFERROR(VLOOKUP(B7,'MP perfume'!$A$6:$F$32,6,FALSE),0)</f>
        <v>9.85</v>
      </c>
      <c r="H7" s="33">
        <f t="shared" si="1"/>
        <v>9.85</v>
      </c>
      <c r="K7" s="35"/>
      <c r="L7" s="35"/>
    </row>
    <row r="8" spans="2:12" x14ac:dyDescent="0.25">
      <c r="B8" s="53" t="s">
        <v>153</v>
      </c>
      <c r="C8" s="30"/>
      <c r="D8" s="31"/>
      <c r="E8" s="31">
        <v>6</v>
      </c>
      <c r="F8" s="58">
        <f t="shared" si="0"/>
        <v>6</v>
      </c>
      <c r="G8" s="59">
        <f>IFERROR(VLOOKUP(B8,'MP perfume'!$A$6:$F$32,6,FALSE),0)</f>
        <v>5.5</v>
      </c>
      <c r="H8" s="33">
        <f t="shared" si="1"/>
        <v>33</v>
      </c>
      <c r="J8" s="95"/>
      <c r="K8" s="95"/>
      <c r="L8" s="35"/>
    </row>
    <row r="9" spans="2:12" x14ac:dyDescent="0.25">
      <c r="B9" s="53"/>
      <c r="C9" s="30"/>
      <c r="D9" s="31"/>
      <c r="E9" s="31"/>
      <c r="F9" s="58">
        <f t="shared" si="0"/>
        <v>0</v>
      </c>
      <c r="G9" s="59">
        <f>IFERROR(VLOOKUP(B9,'MP perfume'!$A$6:$F$32,6,FALSE),0)</f>
        <v>0</v>
      </c>
      <c r="H9" s="33">
        <f t="shared" si="1"/>
        <v>0</v>
      </c>
      <c r="J9" s="95"/>
      <c r="K9" s="95"/>
      <c r="L9" s="35"/>
    </row>
    <row r="10" spans="2:12" x14ac:dyDescent="0.25">
      <c r="B10" s="53"/>
      <c r="C10" s="30"/>
      <c r="D10" s="31"/>
      <c r="E10" s="31"/>
      <c r="F10" s="58">
        <f t="shared" si="0"/>
        <v>0</v>
      </c>
      <c r="G10" s="59">
        <f>IFERROR(VLOOKUP(B10,'MP perfume'!$A$6:$F$32,6,FALSE),0)</f>
        <v>0</v>
      </c>
      <c r="H10" s="33">
        <f t="shared" si="1"/>
        <v>0</v>
      </c>
      <c r="J10" s="95"/>
      <c r="K10" s="95"/>
      <c r="L10" s="35"/>
    </row>
    <row r="11" spans="2:12" x14ac:dyDescent="0.25">
      <c r="B11" s="53"/>
      <c r="C11" s="30"/>
      <c r="D11" s="31"/>
      <c r="E11" s="31"/>
      <c r="F11" s="58">
        <f t="shared" si="0"/>
        <v>0</v>
      </c>
      <c r="G11" s="59">
        <f>IFERROR(VLOOKUP(B11,'MP perfume'!$A$6:$F$32,6,FALSE),0)</f>
        <v>0</v>
      </c>
      <c r="H11" s="33">
        <f t="shared" si="1"/>
        <v>0</v>
      </c>
      <c r="J11" s="36"/>
      <c r="K11" s="36"/>
      <c r="L11" s="35"/>
    </row>
    <row r="12" spans="2:12" x14ac:dyDescent="0.25">
      <c r="B12" s="53"/>
      <c r="C12" s="30"/>
      <c r="D12" s="31"/>
      <c r="E12" s="31"/>
      <c r="F12" s="58">
        <f t="shared" si="0"/>
        <v>0</v>
      </c>
      <c r="G12" s="59">
        <f>IFERROR(VLOOKUP(B12,'MP perfume'!$A$6:$F$32,6,FALSE),0)</f>
        <v>0</v>
      </c>
      <c r="H12" s="33">
        <f t="shared" si="1"/>
        <v>0</v>
      </c>
      <c r="J12" s="36"/>
      <c r="K12" s="36"/>
      <c r="L12" s="35"/>
    </row>
    <row r="13" spans="2:12" ht="15.75" thickBot="1" x14ac:dyDescent="0.3">
      <c r="B13" s="68"/>
      <c r="C13" s="69"/>
      <c r="D13" s="70"/>
      <c r="E13" s="70"/>
      <c r="F13" s="58">
        <f t="shared" si="0"/>
        <v>0</v>
      </c>
      <c r="G13" s="59">
        <f>IFERROR(VLOOKUP(B13,'MP perfume'!$A$6:$F$32,6,FALSE),0)</f>
        <v>0</v>
      </c>
      <c r="H13" s="72">
        <f t="shared" si="1"/>
        <v>0</v>
      </c>
      <c r="J13" s="36"/>
      <c r="K13" s="36"/>
      <c r="L13" s="35"/>
    </row>
    <row r="14" spans="2:12" ht="15.75" thickBot="1" x14ac:dyDescent="0.3">
      <c r="B14" s="96" t="s">
        <v>13</v>
      </c>
      <c r="C14" s="97"/>
      <c r="D14" s="75">
        <f t="shared" ref="D14:H14" si="2">SUM(D4:D13)</f>
        <v>100</v>
      </c>
      <c r="E14" s="75">
        <f t="shared" si="2"/>
        <v>7</v>
      </c>
      <c r="F14" s="75">
        <f t="shared" si="2"/>
        <v>107</v>
      </c>
      <c r="G14" s="76">
        <f t="shared" si="2"/>
        <v>16.324042244278825</v>
      </c>
      <c r="H14" s="76">
        <f t="shared" si="2"/>
        <v>72.37982026791272</v>
      </c>
      <c r="J14" s="95"/>
      <c r="K14" s="95"/>
      <c r="L14" s="35"/>
    </row>
    <row r="15" spans="2:12" x14ac:dyDescent="0.25">
      <c r="F15" s="37"/>
      <c r="G15" s="37"/>
      <c r="H15" s="37"/>
      <c r="I15" s="37"/>
    </row>
    <row r="16" spans="2:12" ht="34.5" x14ac:dyDescent="0.25">
      <c r="C16" s="38" t="s">
        <v>53</v>
      </c>
      <c r="D16" s="29">
        <v>1</v>
      </c>
      <c r="E16" s="27" t="s">
        <v>161</v>
      </c>
      <c r="F16" s="25"/>
      <c r="G16" s="88"/>
      <c r="I16" s="35"/>
    </row>
    <row r="17" spans="3:12" x14ac:dyDescent="0.25">
      <c r="C17" s="39" t="s">
        <v>162</v>
      </c>
      <c r="D17" s="40">
        <f>SUM(H4:H6)/2+H7</f>
        <v>24.614910133956357</v>
      </c>
      <c r="E17" s="35"/>
      <c r="F17" s="25"/>
      <c r="H17" s="35"/>
      <c r="I17" s="35"/>
      <c r="K17" s="85"/>
    </row>
    <row r="18" spans="3:12" x14ac:dyDescent="0.25">
      <c r="C18" s="39" t="s">
        <v>163</v>
      </c>
      <c r="D18" s="40">
        <v>60</v>
      </c>
      <c r="G18" s="35">
        <f>SUM(H4:H6)/100</f>
        <v>0.2952982026791271</v>
      </c>
      <c r="J18" s="26">
        <v>15</v>
      </c>
      <c r="K18" s="26">
        <f>25</f>
        <v>25</v>
      </c>
      <c r="L18" s="26">
        <f>K18*J18</f>
        <v>375</v>
      </c>
    </row>
    <row r="19" spans="3:12" ht="34.5" x14ac:dyDescent="0.25">
      <c r="C19" s="38" t="s">
        <v>53</v>
      </c>
      <c r="D19" s="29">
        <v>6</v>
      </c>
      <c r="E19" s="27" t="s">
        <v>164</v>
      </c>
      <c r="F19" s="35"/>
      <c r="G19" s="35">
        <f>G18*50</f>
        <v>14.764910133956356</v>
      </c>
      <c r="J19" s="26">
        <v>1</v>
      </c>
      <c r="K19" s="26">
        <v>25</v>
      </c>
      <c r="L19" s="26">
        <f>K19*J19</f>
        <v>25</v>
      </c>
    </row>
    <row r="20" spans="3:12" x14ac:dyDescent="0.25">
      <c r="C20" s="39" t="s">
        <v>162</v>
      </c>
      <c r="D20" s="40">
        <f>G19+H8</f>
        <v>47.764910133956356</v>
      </c>
      <c r="E20" s="35">
        <f>D20/D19</f>
        <v>7.9608183556593923</v>
      </c>
    </row>
    <row r="21" spans="3:12" ht="15.75" thickBot="1" x14ac:dyDescent="0.3">
      <c r="C21" s="39" t="s">
        <v>163</v>
      </c>
      <c r="D21" s="40">
        <v>150</v>
      </c>
      <c r="E21" s="35">
        <v>25</v>
      </c>
      <c r="F21" s="35">
        <f>E21-E20</f>
        <v>17.039181644340609</v>
      </c>
    </row>
    <row r="22" spans="3:12" x14ac:dyDescent="0.25">
      <c r="C22" s="41" t="s">
        <v>71</v>
      </c>
      <c r="D22" s="42"/>
      <c r="E22" s="43">
        <f>D20+D17</f>
        <v>72.37982026791272</v>
      </c>
    </row>
    <row r="23" spans="3:12" x14ac:dyDescent="0.25">
      <c r="C23" s="44" t="s">
        <v>70</v>
      </c>
      <c r="D23" s="39"/>
      <c r="E23" s="45">
        <f>D21+D18</f>
        <v>210</v>
      </c>
    </row>
    <row r="24" spans="3:12" x14ac:dyDescent="0.25">
      <c r="C24" s="44" t="s">
        <v>66</v>
      </c>
      <c r="D24" s="39"/>
      <c r="E24" s="45">
        <f>E23-E22</f>
        <v>137.62017973208728</v>
      </c>
    </row>
    <row r="25" spans="3:12" ht="15.75" thickBot="1" x14ac:dyDescent="0.3">
      <c r="C25" s="90" t="s">
        <v>72</v>
      </c>
      <c r="D25" s="91"/>
      <c r="E25" s="79">
        <f>E24/E22</f>
        <v>1.9013611697664963</v>
      </c>
      <c r="G25" s="35"/>
    </row>
  </sheetData>
  <mergeCells count="7">
    <mergeCell ref="C25:D25"/>
    <mergeCell ref="B2:K2"/>
    <mergeCell ref="J8:K8"/>
    <mergeCell ref="J9:K9"/>
    <mergeCell ref="J10:K10"/>
    <mergeCell ref="B14:C14"/>
    <mergeCell ref="J14:K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36C22C6-A07B-4DDF-AEF5-7F711AF6EDEA}">
          <x14:formula1>
            <xm:f>'MP perfume'!$A$6:$A$26</xm:f>
          </x14:formula1>
          <xm:sqref>B4:B13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18D5-BF46-4BC9-862C-065BB6B1C47D}">
  <sheetPr codeName="Sheet2"/>
  <dimension ref="B1:L25"/>
  <sheetViews>
    <sheetView topLeftCell="A11" workbookViewId="0">
      <selection activeCell="E24" sqref="E24"/>
    </sheetView>
  </sheetViews>
  <sheetFormatPr defaultColWidth="9.140625" defaultRowHeight="15" x14ac:dyDescent="0.25"/>
  <cols>
    <col min="1" max="1" width="9.140625" style="26"/>
    <col min="2" max="2" width="14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2" ht="15.75" thickBot="1" x14ac:dyDescent="0.3"/>
    <row r="2" spans="2:12" ht="15.75" thickBot="1" x14ac:dyDescent="0.3">
      <c r="B2" s="92" t="s">
        <v>74</v>
      </c>
      <c r="C2" s="93"/>
      <c r="D2" s="93"/>
      <c r="E2" s="93"/>
      <c r="F2" s="93"/>
      <c r="G2" s="93"/>
      <c r="H2" s="93"/>
      <c r="I2" s="93"/>
      <c r="J2" s="93"/>
      <c r="K2" s="94"/>
    </row>
    <row r="3" spans="2:12" ht="30.75" thickBot="1" x14ac:dyDescent="0.3">
      <c r="B3" s="62" t="s">
        <v>0</v>
      </c>
      <c r="C3" s="63" t="s">
        <v>1</v>
      </c>
      <c r="D3" s="63" t="s">
        <v>159</v>
      </c>
      <c r="E3" s="63" t="s">
        <v>96</v>
      </c>
      <c r="F3" s="64" t="s">
        <v>2</v>
      </c>
      <c r="G3" s="65" t="s">
        <v>160</v>
      </c>
      <c r="H3" s="65" t="s">
        <v>69</v>
      </c>
      <c r="I3" s="28"/>
    </row>
    <row r="4" spans="2:12" x14ac:dyDescent="0.25">
      <c r="B4" s="55" t="s">
        <v>145</v>
      </c>
      <c r="C4" s="56">
        <v>0.1</v>
      </c>
      <c r="D4" s="57">
        <v>10</v>
      </c>
      <c r="E4" s="57"/>
      <c r="F4" s="58">
        <f>IFERROR(D4+E4/16,"")</f>
        <v>10</v>
      </c>
      <c r="G4" s="59">
        <f>IFERROR(VLOOKUP(B4,'MP perfume'!$A$6:$F$32,6,FALSE),0)</f>
        <v>1.8254287776337159E-2</v>
      </c>
      <c r="H4" s="59">
        <f>F4*G4</f>
        <v>0.18254287776337158</v>
      </c>
      <c r="I4" s="35"/>
    </row>
    <row r="5" spans="2:12" x14ac:dyDescent="0.25">
      <c r="B5" s="53" t="s">
        <v>146</v>
      </c>
      <c r="C5" s="30">
        <v>0.6</v>
      </c>
      <c r="D5" s="31">
        <v>60</v>
      </c>
      <c r="E5" s="31"/>
      <c r="F5" s="32">
        <f t="shared" ref="F5:F12" si="0">IFERROR(D5+E5/16,"")</f>
        <v>60</v>
      </c>
      <c r="G5" s="59">
        <f>IFERROR(VLOOKUP(B5,'MP perfume'!$A$6:$F$32,6,FALSE),0)</f>
        <v>2.2454623169155696E-2</v>
      </c>
      <c r="H5" s="33">
        <f t="shared" ref="H5:H13" si="1">F5*G5</f>
        <v>1.3472773901493418</v>
      </c>
      <c r="I5" s="35"/>
      <c r="K5" s="35"/>
      <c r="L5" s="35"/>
    </row>
    <row r="6" spans="2:12" x14ac:dyDescent="0.25">
      <c r="B6" s="53" t="s">
        <v>156</v>
      </c>
      <c r="C6" s="30">
        <v>0.3</v>
      </c>
      <c r="D6" s="31">
        <v>30</v>
      </c>
      <c r="E6" s="31"/>
      <c r="F6" s="32">
        <f t="shared" si="0"/>
        <v>30</v>
      </c>
      <c r="G6" s="59">
        <f>IFERROR(VLOOKUP(B6,'MP perfume'!$A$6:$F$32,6,FALSE),0)</f>
        <v>0.93333333333333335</v>
      </c>
      <c r="H6" s="33">
        <f t="shared" si="1"/>
        <v>28</v>
      </c>
      <c r="I6" s="35"/>
      <c r="L6" s="35"/>
    </row>
    <row r="7" spans="2:12" x14ac:dyDescent="0.25">
      <c r="B7" s="53" t="s">
        <v>152</v>
      </c>
      <c r="C7" s="30"/>
      <c r="D7" s="31"/>
      <c r="E7" s="31">
        <v>1</v>
      </c>
      <c r="F7" s="32">
        <f>E7</f>
        <v>1</v>
      </c>
      <c r="G7" s="59">
        <f>IFERROR(VLOOKUP(B7,'MP perfume'!$A$6:$F$32,6,FALSE),0)</f>
        <v>12.5</v>
      </c>
      <c r="H7" s="33">
        <f t="shared" si="1"/>
        <v>12.5</v>
      </c>
      <c r="K7" s="35"/>
      <c r="L7" s="35"/>
    </row>
    <row r="8" spans="2:12" x14ac:dyDescent="0.25">
      <c r="B8" s="53"/>
      <c r="C8" s="30"/>
      <c r="D8" s="31"/>
      <c r="E8" s="31"/>
      <c r="F8" s="32">
        <f t="shared" si="0"/>
        <v>0</v>
      </c>
      <c r="G8" s="59">
        <f>IFERROR(VLOOKUP(B8,'MP perfume'!$A$6:$F$32,6,FALSE),0)</f>
        <v>0</v>
      </c>
      <c r="H8" s="33">
        <f t="shared" si="1"/>
        <v>0</v>
      </c>
      <c r="J8" s="95"/>
      <c r="K8" s="95"/>
      <c r="L8" s="35"/>
    </row>
    <row r="9" spans="2:12" x14ac:dyDescent="0.25">
      <c r="B9" s="53"/>
      <c r="C9" s="30"/>
      <c r="D9" s="31"/>
      <c r="E9" s="31"/>
      <c r="F9" s="32">
        <f t="shared" si="0"/>
        <v>0</v>
      </c>
      <c r="G9" s="59">
        <f>IFERROR(VLOOKUP(B9,'MP perfume'!$A$6:$F$32,6,FALSE),0)</f>
        <v>0</v>
      </c>
      <c r="H9" s="33">
        <f t="shared" si="1"/>
        <v>0</v>
      </c>
      <c r="J9" s="95"/>
      <c r="K9" s="95"/>
      <c r="L9" s="35"/>
    </row>
    <row r="10" spans="2:12" x14ac:dyDescent="0.25">
      <c r="B10" s="53"/>
      <c r="C10" s="30"/>
      <c r="D10" s="31"/>
      <c r="E10" s="31"/>
      <c r="F10" s="32">
        <f t="shared" si="0"/>
        <v>0</v>
      </c>
      <c r="G10" s="59">
        <f>IFERROR(VLOOKUP(B10,'MP perfume'!$A$6:$F$32,6,FALSE),0)</f>
        <v>0</v>
      </c>
      <c r="H10" s="33">
        <f t="shared" si="1"/>
        <v>0</v>
      </c>
      <c r="J10" s="95"/>
      <c r="K10" s="95"/>
      <c r="L10" s="35"/>
    </row>
    <row r="11" spans="2:12" x14ac:dyDescent="0.25">
      <c r="B11" s="53"/>
      <c r="C11" s="30"/>
      <c r="D11" s="31"/>
      <c r="E11" s="31"/>
      <c r="F11" s="32">
        <f t="shared" si="0"/>
        <v>0</v>
      </c>
      <c r="G11" s="59">
        <f>IFERROR(VLOOKUP(B11,'MP perfume'!$A$6:$F$32,6,FALSE),0)</f>
        <v>0</v>
      </c>
      <c r="H11" s="33">
        <f t="shared" si="1"/>
        <v>0</v>
      </c>
      <c r="J11" s="36"/>
      <c r="K11" s="36"/>
      <c r="L11" s="35"/>
    </row>
    <row r="12" spans="2:12" x14ac:dyDescent="0.25">
      <c r="B12" s="53"/>
      <c r="C12" s="30"/>
      <c r="D12" s="31"/>
      <c r="E12" s="31"/>
      <c r="F12" s="32">
        <f t="shared" si="0"/>
        <v>0</v>
      </c>
      <c r="G12" s="59">
        <f>IFERROR(VLOOKUP(B12,'MP perfume'!$A$6:$F$32,6,FALSE),0)</f>
        <v>0</v>
      </c>
      <c r="H12" s="33">
        <f t="shared" si="1"/>
        <v>0</v>
      </c>
      <c r="J12" s="36"/>
      <c r="K12" s="36"/>
      <c r="L12" s="35"/>
    </row>
    <row r="13" spans="2:12" ht="15.75" thickBot="1" x14ac:dyDescent="0.3">
      <c r="B13" s="68"/>
      <c r="C13" s="69"/>
      <c r="D13" s="70"/>
      <c r="E13" s="70"/>
      <c r="F13" s="71">
        <f>IFERROR(D13+E13/16," ")</f>
        <v>0</v>
      </c>
      <c r="G13" s="59">
        <f>IFERROR(VLOOKUP(B13,'MP perfume'!$A$6:$F$32,6,FALSE),0)</f>
        <v>0</v>
      </c>
      <c r="H13" s="72">
        <f t="shared" si="1"/>
        <v>0</v>
      </c>
      <c r="J13" s="36"/>
      <c r="K13" s="36"/>
      <c r="L13" s="35"/>
    </row>
    <row r="14" spans="2:12" ht="15.75" thickBot="1" x14ac:dyDescent="0.3">
      <c r="B14" s="96" t="s">
        <v>13</v>
      </c>
      <c r="C14" s="97"/>
      <c r="D14" s="75">
        <f t="shared" ref="D14:H14" si="2">SUM(D4:D13)</f>
        <v>100</v>
      </c>
      <c r="E14" s="75">
        <f t="shared" si="2"/>
        <v>1</v>
      </c>
      <c r="F14" s="75">
        <f t="shared" si="2"/>
        <v>101</v>
      </c>
      <c r="G14" s="76">
        <f t="shared" si="2"/>
        <v>13.474042244278825</v>
      </c>
      <c r="H14" s="76">
        <f t="shared" si="2"/>
        <v>42.029820267912712</v>
      </c>
      <c r="J14" s="95"/>
      <c r="K14" s="95"/>
      <c r="L14" s="35"/>
    </row>
    <row r="15" spans="2:12" x14ac:dyDescent="0.25">
      <c r="F15" s="37"/>
      <c r="G15" s="37"/>
      <c r="H15" s="37"/>
      <c r="I15" s="37"/>
    </row>
    <row r="16" spans="2:12" ht="34.5" x14ac:dyDescent="0.25">
      <c r="C16" s="38" t="s">
        <v>53</v>
      </c>
      <c r="D16" s="29">
        <v>1</v>
      </c>
      <c r="E16" s="27" t="s">
        <v>161</v>
      </c>
      <c r="F16" s="25"/>
      <c r="G16" s="88"/>
      <c r="I16" s="35"/>
    </row>
    <row r="17" spans="3:11" x14ac:dyDescent="0.25">
      <c r="C17" s="39" t="s">
        <v>162</v>
      </c>
      <c r="D17" s="40">
        <f>H14/D16</f>
        <v>42.029820267912712</v>
      </c>
      <c r="E17" s="35"/>
      <c r="F17" s="25"/>
      <c r="H17" s="35"/>
      <c r="I17" s="35"/>
      <c r="K17" s="85"/>
    </row>
    <row r="18" spans="3:11" x14ac:dyDescent="0.25">
      <c r="C18" s="39" t="s">
        <v>163</v>
      </c>
      <c r="D18" s="40">
        <v>120</v>
      </c>
    </row>
    <row r="19" spans="3:11" x14ac:dyDescent="0.25">
      <c r="C19" s="87"/>
    </row>
    <row r="20" spans="3:11" x14ac:dyDescent="0.25">
      <c r="C20" s="87"/>
      <c r="D20" s="28"/>
    </row>
    <row r="21" spans="3:11" ht="15.75" thickBot="1" x14ac:dyDescent="0.3"/>
    <row r="22" spans="3:11" x14ac:dyDescent="0.25">
      <c r="C22" s="41" t="s">
        <v>71</v>
      </c>
      <c r="D22" s="42"/>
      <c r="E22" s="43">
        <f>H14*1.36</f>
        <v>57.160555564361289</v>
      </c>
    </row>
    <row r="23" spans="3:11" x14ac:dyDescent="0.25">
      <c r="C23" s="44" t="s">
        <v>70</v>
      </c>
      <c r="D23" s="39"/>
      <c r="E23" s="45">
        <f>D18*D16</f>
        <v>120</v>
      </c>
    </row>
    <row r="24" spans="3:11" x14ac:dyDescent="0.25">
      <c r="C24" s="44" t="s">
        <v>66</v>
      </c>
      <c r="D24" s="39"/>
      <c r="E24" s="45">
        <f>E23-E22</f>
        <v>62.839444435638711</v>
      </c>
    </row>
    <row r="25" spans="3:11" ht="15.75" thickBot="1" x14ac:dyDescent="0.3">
      <c r="C25" s="90" t="s">
        <v>72</v>
      </c>
      <c r="D25" s="91"/>
      <c r="E25" s="79">
        <f>E24/E22</f>
        <v>1.0993497843960447</v>
      </c>
      <c r="G25" s="35"/>
    </row>
  </sheetData>
  <mergeCells count="7">
    <mergeCell ref="C25:D25"/>
    <mergeCell ref="B2:K2"/>
    <mergeCell ref="J8:K8"/>
    <mergeCell ref="J9:K9"/>
    <mergeCell ref="J10:K10"/>
    <mergeCell ref="B14:C14"/>
    <mergeCell ref="J14:K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478AF3-A9DD-4CF6-8B7E-54017AD68E63}">
          <x14:formula1>
            <xm:f>'MP perfume'!$A$6:$A$26</xm:f>
          </x14:formula1>
          <xm:sqref>B4:B13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5F5-54EC-403C-894E-A42CD03345EA}">
  <sheetPr codeName="Sheet3"/>
  <dimension ref="B1:L25"/>
  <sheetViews>
    <sheetView topLeftCell="A11" workbookViewId="0">
      <selection activeCell="G16" sqref="G16:H17"/>
    </sheetView>
  </sheetViews>
  <sheetFormatPr defaultColWidth="9.140625" defaultRowHeight="15" x14ac:dyDescent="0.25"/>
  <cols>
    <col min="1" max="1" width="9.140625" style="26"/>
    <col min="2" max="2" width="14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2" ht="15.75" thickBot="1" x14ac:dyDescent="0.3"/>
    <row r="2" spans="2:12" ht="15.75" thickBot="1" x14ac:dyDescent="0.3">
      <c r="B2" s="92" t="s">
        <v>74</v>
      </c>
      <c r="C2" s="93"/>
      <c r="D2" s="93"/>
      <c r="E2" s="93"/>
      <c r="F2" s="93"/>
      <c r="G2" s="93"/>
      <c r="H2" s="93"/>
      <c r="I2" s="93"/>
      <c r="J2" s="93"/>
      <c r="K2" s="94"/>
    </row>
    <row r="3" spans="2:12" ht="30.75" thickBot="1" x14ac:dyDescent="0.3">
      <c r="B3" s="62" t="s">
        <v>0</v>
      </c>
      <c r="C3" s="63" t="s">
        <v>1</v>
      </c>
      <c r="D3" s="63" t="s">
        <v>159</v>
      </c>
      <c r="E3" s="63" t="s">
        <v>96</v>
      </c>
      <c r="F3" s="64" t="s">
        <v>2</v>
      </c>
      <c r="G3" s="65" t="s">
        <v>160</v>
      </c>
      <c r="H3" s="65" t="s">
        <v>69</v>
      </c>
      <c r="I3" s="28"/>
    </row>
    <row r="4" spans="2:12" x14ac:dyDescent="0.25">
      <c r="B4" s="55" t="s">
        <v>145</v>
      </c>
      <c r="C4" s="56">
        <v>0.1</v>
      </c>
      <c r="D4" s="57">
        <v>10</v>
      </c>
      <c r="E4" s="57"/>
      <c r="F4" s="58">
        <f>IFERROR(D4+E4/16,"")</f>
        <v>10</v>
      </c>
      <c r="G4" s="59">
        <f>IFERROR(VLOOKUP(B4,'MP perfume'!$A$6:$F$32,6,FALSE),0)</f>
        <v>1.8254287776337159E-2</v>
      </c>
      <c r="H4" s="59">
        <f>F4*G4</f>
        <v>0.18254287776337158</v>
      </c>
      <c r="I4" s="35"/>
    </row>
    <row r="5" spans="2:12" x14ac:dyDescent="0.25">
      <c r="B5" s="53" t="s">
        <v>146</v>
      </c>
      <c r="C5" s="30">
        <v>0.6</v>
      </c>
      <c r="D5" s="31">
        <v>60</v>
      </c>
      <c r="E5" s="31"/>
      <c r="F5" s="32">
        <f t="shared" ref="F5:F12" si="0">IFERROR(D5+E5/16,"")</f>
        <v>60</v>
      </c>
      <c r="G5" s="59">
        <f>IFERROR(VLOOKUP(B5,'MP perfume'!$A$6:$F$32,6,FALSE),0)</f>
        <v>2.2454623169155696E-2</v>
      </c>
      <c r="H5" s="33">
        <f t="shared" ref="H5:H13" si="1">F5*G5</f>
        <v>1.3472773901493418</v>
      </c>
      <c r="I5" s="35"/>
      <c r="K5" s="35"/>
      <c r="L5" s="35"/>
    </row>
    <row r="6" spans="2:12" x14ac:dyDescent="0.25">
      <c r="B6" s="53" t="s">
        <v>156</v>
      </c>
      <c r="C6" s="30">
        <v>0.3</v>
      </c>
      <c r="D6" s="31">
        <v>30</v>
      </c>
      <c r="E6" s="31"/>
      <c r="F6" s="32">
        <f t="shared" si="0"/>
        <v>30</v>
      </c>
      <c r="G6" s="59">
        <f>IFERROR(VLOOKUP(B6,'MP perfume'!$A$6:$F$32,6,FALSE),0)</f>
        <v>0.93333333333333335</v>
      </c>
      <c r="H6" s="33">
        <f t="shared" si="1"/>
        <v>28</v>
      </c>
      <c r="I6" s="35"/>
      <c r="L6" s="35"/>
    </row>
    <row r="7" spans="2:12" x14ac:dyDescent="0.25">
      <c r="B7" s="53" t="s">
        <v>150</v>
      </c>
      <c r="C7" s="30"/>
      <c r="D7" s="31"/>
      <c r="E7" s="31">
        <v>2</v>
      </c>
      <c r="F7" s="32">
        <f>E7</f>
        <v>2</v>
      </c>
      <c r="G7" s="59">
        <f>IFERROR(VLOOKUP(B7,'MP perfume'!$A$6:$F$32,6,FALSE),0)</f>
        <v>9.85</v>
      </c>
      <c r="H7" s="33">
        <f t="shared" si="1"/>
        <v>19.7</v>
      </c>
      <c r="K7" s="35"/>
      <c r="L7" s="35"/>
    </row>
    <row r="8" spans="2:12" x14ac:dyDescent="0.25">
      <c r="B8" s="53"/>
      <c r="C8" s="30"/>
      <c r="D8" s="31"/>
      <c r="E8" s="31"/>
      <c r="F8" s="32">
        <f t="shared" si="0"/>
        <v>0</v>
      </c>
      <c r="G8" s="59">
        <f>IFERROR(VLOOKUP(B8,'MP perfume'!$A$6:$F$32,6,FALSE),0)</f>
        <v>0</v>
      </c>
      <c r="H8" s="33">
        <f t="shared" si="1"/>
        <v>0</v>
      </c>
      <c r="J8" s="95"/>
      <c r="K8" s="95"/>
      <c r="L8" s="35"/>
    </row>
    <row r="9" spans="2:12" x14ac:dyDescent="0.25">
      <c r="B9" s="53"/>
      <c r="C9" s="30"/>
      <c r="D9" s="31"/>
      <c r="E9" s="31"/>
      <c r="F9" s="32">
        <f t="shared" si="0"/>
        <v>0</v>
      </c>
      <c r="G9" s="59">
        <f>IFERROR(VLOOKUP(B9,'MP perfume'!$A$6:$F$32,6,FALSE),0)</f>
        <v>0</v>
      </c>
      <c r="H9" s="33">
        <f t="shared" si="1"/>
        <v>0</v>
      </c>
      <c r="J9" s="95"/>
      <c r="K9" s="95"/>
      <c r="L9" s="35"/>
    </row>
    <row r="10" spans="2:12" x14ac:dyDescent="0.25">
      <c r="B10" s="53"/>
      <c r="C10" s="30"/>
      <c r="D10" s="31"/>
      <c r="E10" s="31"/>
      <c r="F10" s="32">
        <f t="shared" si="0"/>
        <v>0</v>
      </c>
      <c r="G10" s="59">
        <f>IFERROR(VLOOKUP(B10,'MP perfume'!$A$6:$F$32,6,FALSE),0)</f>
        <v>0</v>
      </c>
      <c r="H10" s="33">
        <f t="shared" si="1"/>
        <v>0</v>
      </c>
      <c r="J10" s="95"/>
      <c r="K10" s="95"/>
      <c r="L10" s="35"/>
    </row>
    <row r="11" spans="2:12" x14ac:dyDescent="0.25">
      <c r="B11" s="53"/>
      <c r="C11" s="30"/>
      <c r="D11" s="31"/>
      <c r="E11" s="31"/>
      <c r="F11" s="32">
        <f t="shared" si="0"/>
        <v>0</v>
      </c>
      <c r="G11" s="59">
        <f>IFERROR(VLOOKUP(B11,'MP perfume'!$A$6:$F$32,6,FALSE),0)</f>
        <v>0</v>
      </c>
      <c r="H11" s="33">
        <f t="shared" si="1"/>
        <v>0</v>
      </c>
      <c r="J11" s="36"/>
      <c r="K11" s="36"/>
      <c r="L11" s="35"/>
    </row>
    <row r="12" spans="2:12" x14ac:dyDescent="0.25">
      <c r="B12" s="53"/>
      <c r="C12" s="30"/>
      <c r="D12" s="31"/>
      <c r="E12" s="31"/>
      <c r="F12" s="32">
        <f t="shared" si="0"/>
        <v>0</v>
      </c>
      <c r="G12" s="59">
        <f>IFERROR(VLOOKUP(B12,'MP perfume'!$A$6:$F$32,6,FALSE),0)</f>
        <v>0</v>
      </c>
      <c r="H12" s="33">
        <f t="shared" si="1"/>
        <v>0</v>
      </c>
      <c r="J12" s="36"/>
      <c r="K12" s="36"/>
      <c r="L12" s="35"/>
    </row>
    <row r="13" spans="2:12" ht="15.75" thickBot="1" x14ac:dyDescent="0.3">
      <c r="B13" s="68"/>
      <c r="C13" s="69"/>
      <c r="D13" s="70"/>
      <c r="E13" s="70"/>
      <c r="F13" s="71">
        <f>IFERROR(D13+E13/16," ")</f>
        <v>0</v>
      </c>
      <c r="G13" s="59">
        <f>IFERROR(VLOOKUP(B13,'MP perfume'!$A$6:$F$32,6,FALSE),0)</f>
        <v>0</v>
      </c>
      <c r="H13" s="72">
        <f t="shared" si="1"/>
        <v>0</v>
      </c>
      <c r="J13" s="36"/>
      <c r="K13" s="36"/>
      <c r="L13" s="35"/>
    </row>
    <row r="14" spans="2:12" ht="15.75" thickBot="1" x14ac:dyDescent="0.3">
      <c r="B14" s="96" t="s">
        <v>13</v>
      </c>
      <c r="C14" s="97"/>
      <c r="D14" s="75">
        <f t="shared" ref="D14:H14" si="2">SUM(D4:D13)</f>
        <v>100</v>
      </c>
      <c r="E14" s="75">
        <f t="shared" si="2"/>
        <v>2</v>
      </c>
      <c r="F14" s="75">
        <f t="shared" si="2"/>
        <v>102</v>
      </c>
      <c r="G14" s="76">
        <f t="shared" si="2"/>
        <v>10.824042244278825</v>
      </c>
      <c r="H14" s="76">
        <f t="shared" si="2"/>
        <v>49.229820267912714</v>
      </c>
      <c r="J14" s="95"/>
      <c r="K14" s="95"/>
      <c r="L14" s="35"/>
    </row>
    <row r="15" spans="2:12" x14ac:dyDescent="0.25">
      <c r="F15" s="37"/>
      <c r="G15" s="37"/>
      <c r="H15" s="37"/>
      <c r="I15" s="37"/>
    </row>
    <row r="16" spans="2:12" ht="34.5" x14ac:dyDescent="0.25">
      <c r="C16" s="38" t="s">
        <v>53</v>
      </c>
      <c r="D16" s="29">
        <v>2</v>
      </c>
      <c r="E16" s="27" t="s">
        <v>161</v>
      </c>
      <c r="F16" s="25"/>
      <c r="G16" s="88"/>
      <c r="I16" s="35"/>
    </row>
    <row r="17" spans="3:11" x14ac:dyDescent="0.25">
      <c r="C17" s="39" t="s">
        <v>162</v>
      </c>
      <c r="D17" s="40">
        <f>H14/D16</f>
        <v>24.614910133956357</v>
      </c>
      <c r="E17" s="35"/>
      <c r="F17" s="25"/>
      <c r="H17" s="35"/>
      <c r="I17" s="35"/>
      <c r="K17" s="85"/>
    </row>
    <row r="18" spans="3:11" x14ac:dyDescent="0.25">
      <c r="C18" s="39" t="s">
        <v>163</v>
      </c>
      <c r="D18" s="40">
        <v>60</v>
      </c>
    </row>
    <row r="19" spans="3:11" x14ac:dyDescent="0.25">
      <c r="C19" s="87"/>
    </row>
    <row r="20" spans="3:11" x14ac:dyDescent="0.25">
      <c r="C20" s="87"/>
      <c r="D20" s="28"/>
    </row>
    <row r="21" spans="3:11" ht="15.75" thickBot="1" x14ac:dyDescent="0.3"/>
    <row r="22" spans="3:11" x14ac:dyDescent="0.25">
      <c r="C22" s="41" t="s">
        <v>71</v>
      </c>
      <c r="D22" s="42"/>
      <c r="E22" s="43">
        <f>H14*1.36</f>
        <v>66.95255556436129</v>
      </c>
    </row>
    <row r="23" spans="3:11" x14ac:dyDescent="0.25">
      <c r="C23" s="44" t="s">
        <v>70</v>
      </c>
      <c r="D23" s="39"/>
      <c r="E23" s="45">
        <f>D18*D16</f>
        <v>120</v>
      </c>
    </row>
    <row r="24" spans="3:11" x14ac:dyDescent="0.25">
      <c r="C24" s="44" t="s">
        <v>66</v>
      </c>
      <c r="D24" s="39"/>
      <c r="E24" s="45">
        <f>E23-E22</f>
        <v>53.04744443563871</v>
      </c>
    </row>
    <row r="25" spans="3:11" ht="15.75" thickBot="1" x14ac:dyDescent="0.3">
      <c r="C25" s="90" t="s">
        <v>72</v>
      </c>
      <c r="D25" s="91"/>
      <c r="E25" s="79">
        <f>E24/E22</f>
        <v>0.79231396006451704</v>
      </c>
      <c r="G25" s="35"/>
    </row>
  </sheetData>
  <mergeCells count="7">
    <mergeCell ref="C25:D25"/>
    <mergeCell ref="B2:K2"/>
    <mergeCell ref="J8:K8"/>
    <mergeCell ref="J9:K9"/>
    <mergeCell ref="J10:K10"/>
    <mergeCell ref="B14:C14"/>
    <mergeCell ref="J14:K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4D88577-13BB-41E6-936D-10AF4B8A6E31}">
          <x14:formula1>
            <xm:f>'MP perfume'!$A$6:$A$26</xm:f>
          </x14:formula1>
          <xm:sqref>B4:B13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B97B-29F5-4BE3-8DD7-5624BBCE0B23}">
  <sheetPr codeName="Sheet4">
    <tabColor rgb="FFFFFF00"/>
  </sheetPr>
  <dimension ref="A1:H41"/>
  <sheetViews>
    <sheetView workbookViewId="0">
      <selection activeCell="F11" sqref="F11"/>
    </sheetView>
  </sheetViews>
  <sheetFormatPr defaultRowHeight="15" x14ac:dyDescent="0.25"/>
  <cols>
    <col min="1" max="1" width="16" bestFit="1" customWidth="1"/>
    <col min="2" max="2" width="9.85546875" customWidth="1"/>
    <col min="3" max="3" width="8.140625" bestFit="1" customWidth="1"/>
    <col min="4" max="4" width="9.42578125" bestFit="1" customWidth="1"/>
    <col min="5" max="5" width="13.7109375" bestFit="1" customWidth="1"/>
    <col min="6" max="6" width="20.7109375" bestFit="1" customWidth="1"/>
  </cols>
  <sheetData>
    <row r="1" spans="1:8" x14ac:dyDescent="0.25">
      <c r="A1" s="98" t="s">
        <v>14</v>
      </c>
      <c r="B1" s="98"/>
      <c r="C1" s="98"/>
      <c r="D1" s="98"/>
      <c r="E1" s="98"/>
      <c r="F1" s="98"/>
    </row>
    <row r="4" spans="1:8" x14ac:dyDescent="0.25">
      <c r="A4" s="99" t="s">
        <v>15</v>
      </c>
      <c r="B4" s="99"/>
      <c r="C4" s="99"/>
      <c r="D4" s="99"/>
      <c r="E4" s="99"/>
      <c r="F4" s="99"/>
    </row>
    <row r="5" spans="1:8" x14ac:dyDescent="0.25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105</v>
      </c>
      <c r="G5" s="84" t="s">
        <v>106</v>
      </c>
    </row>
    <row r="6" spans="1:8" x14ac:dyDescent="0.25">
      <c r="A6" s="6" t="s">
        <v>145</v>
      </c>
      <c r="B6" s="6" t="s">
        <v>147</v>
      </c>
      <c r="C6" s="6">
        <v>3785.4119999999998</v>
      </c>
      <c r="D6" s="6" t="s">
        <v>148</v>
      </c>
      <c r="E6" s="7">
        <v>69.099999999999994</v>
      </c>
      <c r="F6" s="7">
        <f>E6/C6</f>
        <v>1.8254287776337159E-2</v>
      </c>
      <c r="H6" s="4"/>
    </row>
    <row r="7" spans="1:8" x14ac:dyDescent="0.25">
      <c r="A7" s="6" t="s">
        <v>146</v>
      </c>
      <c r="B7" s="6" t="s">
        <v>147</v>
      </c>
      <c r="C7" s="6">
        <v>3785.4119999999998</v>
      </c>
      <c r="D7" s="6" t="s">
        <v>149</v>
      </c>
      <c r="E7" s="7">
        <v>85</v>
      </c>
      <c r="F7" s="7">
        <f>E7/C7</f>
        <v>2.2454623169155696E-2</v>
      </c>
      <c r="H7" s="4"/>
    </row>
    <row r="8" spans="1:8" x14ac:dyDescent="0.25">
      <c r="A8" s="6" t="s">
        <v>150</v>
      </c>
      <c r="B8" s="6" t="s">
        <v>151</v>
      </c>
      <c r="C8" s="6">
        <v>1</v>
      </c>
      <c r="D8" s="6" t="s">
        <v>19</v>
      </c>
      <c r="E8" s="7">
        <v>9.85</v>
      </c>
      <c r="F8" s="7">
        <f>E8/C8</f>
        <v>9.85</v>
      </c>
      <c r="H8" s="4"/>
    </row>
    <row r="9" spans="1:8" x14ac:dyDescent="0.25">
      <c r="A9" s="6" t="s">
        <v>152</v>
      </c>
      <c r="B9" s="6" t="s">
        <v>151</v>
      </c>
      <c r="C9" s="6">
        <v>1</v>
      </c>
      <c r="D9" s="6" t="s">
        <v>19</v>
      </c>
      <c r="E9" s="7">
        <v>12.5</v>
      </c>
      <c r="F9" s="7">
        <f t="shared" ref="F9:F12" si="0">E9/C9</f>
        <v>12.5</v>
      </c>
      <c r="H9" s="4"/>
    </row>
    <row r="10" spans="1:8" x14ac:dyDescent="0.25">
      <c r="A10" s="6" t="s">
        <v>153</v>
      </c>
      <c r="B10" s="6" t="s">
        <v>151</v>
      </c>
      <c r="C10" s="6">
        <v>24</v>
      </c>
      <c r="D10" s="6" t="s">
        <v>19</v>
      </c>
      <c r="E10" s="7">
        <f>24*5.5</f>
        <v>132</v>
      </c>
      <c r="F10" s="7">
        <f t="shared" si="0"/>
        <v>5.5</v>
      </c>
      <c r="H10" s="4"/>
    </row>
    <row r="11" spans="1:8" x14ac:dyDescent="0.25">
      <c r="A11" s="6" t="s">
        <v>154</v>
      </c>
      <c r="B11" s="6" t="s">
        <v>157</v>
      </c>
      <c r="C11" s="6">
        <v>30</v>
      </c>
      <c r="D11" s="6" t="s">
        <v>155</v>
      </c>
      <c r="E11" s="7">
        <v>25</v>
      </c>
      <c r="F11" s="7">
        <f t="shared" si="0"/>
        <v>0.83333333333333337</v>
      </c>
      <c r="H11" s="4"/>
    </row>
    <row r="12" spans="1:8" x14ac:dyDescent="0.25">
      <c r="A12" s="6" t="s">
        <v>156</v>
      </c>
      <c r="B12" s="6" t="s">
        <v>158</v>
      </c>
      <c r="C12" s="6">
        <v>30</v>
      </c>
      <c r="D12" s="6" t="s">
        <v>155</v>
      </c>
      <c r="E12" s="7">
        <v>28</v>
      </c>
      <c r="F12" s="7">
        <f t="shared" si="0"/>
        <v>0.93333333333333335</v>
      </c>
      <c r="H12" s="4"/>
    </row>
    <row r="13" spans="1:8" x14ac:dyDescent="0.25">
      <c r="A13" s="6"/>
      <c r="B13" s="6"/>
      <c r="C13" s="6"/>
      <c r="D13" s="6"/>
      <c r="E13" s="7"/>
      <c r="F13" s="7"/>
      <c r="H13" s="4"/>
    </row>
    <row r="14" spans="1:8" x14ac:dyDescent="0.25">
      <c r="A14" s="6"/>
      <c r="B14" s="6"/>
      <c r="C14" s="6"/>
      <c r="D14" s="6"/>
      <c r="E14" s="7"/>
      <c r="F14" s="7"/>
      <c r="H14" s="4"/>
    </row>
    <row r="15" spans="1:8" x14ac:dyDescent="0.25">
      <c r="A15" s="6"/>
      <c r="B15" s="6"/>
      <c r="C15" s="6"/>
      <c r="D15" s="6"/>
      <c r="E15" s="7"/>
      <c r="F15" s="7"/>
      <c r="H15" s="4"/>
    </row>
    <row r="16" spans="1:8" x14ac:dyDescent="0.25">
      <c r="A16" s="6"/>
      <c r="B16" s="6"/>
      <c r="C16" s="6"/>
      <c r="D16" s="6"/>
      <c r="E16" s="7"/>
      <c r="F16" s="7"/>
      <c r="H16" s="4"/>
    </row>
    <row r="17" spans="1:8" x14ac:dyDescent="0.25">
      <c r="A17" s="6"/>
      <c r="B17" s="6"/>
      <c r="C17" s="6"/>
      <c r="D17" s="6"/>
      <c r="E17" s="7"/>
      <c r="F17" s="7"/>
      <c r="H17" s="4"/>
    </row>
    <row r="18" spans="1:8" x14ac:dyDescent="0.25">
      <c r="A18" s="6"/>
      <c r="B18" s="6"/>
      <c r="C18" s="6"/>
      <c r="D18" s="6"/>
      <c r="E18" s="7"/>
      <c r="F18" s="7"/>
      <c r="H18" s="4"/>
    </row>
    <row r="19" spans="1:8" x14ac:dyDescent="0.25">
      <c r="A19" s="6"/>
      <c r="B19" s="6"/>
      <c r="C19" s="6"/>
      <c r="D19" s="6"/>
      <c r="E19" s="7"/>
      <c r="F19" s="7"/>
      <c r="H19" s="4"/>
    </row>
    <row r="20" spans="1:8" x14ac:dyDescent="0.25">
      <c r="A20" s="6"/>
      <c r="B20" s="6"/>
      <c r="C20" s="6"/>
      <c r="D20" s="6"/>
      <c r="E20" s="7"/>
      <c r="F20" s="7"/>
      <c r="H20" s="4"/>
    </row>
    <row r="21" spans="1:8" x14ac:dyDescent="0.25">
      <c r="A21" s="6"/>
      <c r="B21" s="6"/>
      <c r="C21" s="6"/>
      <c r="D21" s="6"/>
      <c r="E21" s="7"/>
      <c r="F21" s="7"/>
      <c r="H21" s="4"/>
    </row>
    <row r="22" spans="1:8" x14ac:dyDescent="0.25">
      <c r="A22" s="6"/>
      <c r="B22" s="6"/>
      <c r="C22" s="6"/>
      <c r="D22" s="6"/>
      <c r="E22" s="7"/>
      <c r="F22" s="7"/>
      <c r="H22" s="4"/>
    </row>
    <row r="23" spans="1:8" x14ac:dyDescent="0.25">
      <c r="A23" s="6"/>
      <c r="B23" s="6"/>
      <c r="C23" s="6"/>
      <c r="D23" s="6"/>
      <c r="E23" s="7"/>
      <c r="F23" s="7"/>
      <c r="H23" s="4"/>
    </row>
    <row r="24" spans="1:8" x14ac:dyDescent="0.25">
      <c r="A24" s="6"/>
      <c r="B24" s="6"/>
      <c r="C24" s="6"/>
      <c r="D24" s="6"/>
      <c r="E24" s="7"/>
      <c r="F24" s="7"/>
      <c r="H24" s="4"/>
    </row>
    <row r="25" spans="1:8" x14ac:dyDescent="0.25">
      <c r="A25" s="6"/>
      <c r="B25" s="6"/>
      <c r="C25" s="6"/>
      <c r="D25" s="6"/>
      <c r="E25" s="7"/>
      <c r="F25" s="7"/>
      <c r="H25" s="4"/>
    </row>
    <row r="26" spans="1:8" x14ac:dyDescent="0.25">
      <c r="A26" s="6"/>
      <c r="B26" s="6"/>
      <c r="C26" s="6"/>
      <c r="D26" s="6"/>
      <c r="E26" s="7"/>
      <c r="F26" s="7"/>
      <c r="H26" s="4"/>
    </row>
    <row r="27" spans="1:8" x14ac:dyDescent="0.25">
      <c r="A27" s="6"/>
      <c r="B27" s="6"/>
      <c r="C27" s="6"/>
      <c r="D27" s="6"/>
      <c r="E27" s="7"/>
      <c r="F27" s="7"/>
      <c r="H27" s="4"/>
    </row>
    <row r="28" spans="1:8" x14ac:dyDescent="0.25">
      <c r="A28" s="6"/>
      <c r="B28" s="6"/>
      <c r="C28" s="6"/>
      <c r="D28" s="6"/>
      <c r="E28" s="7"/>
      <c r="F28" s="7"/>
      <c r="H28" s="4"/>
    </row>
    <row r="29" spans="1:8" x14ac:dyDescent="0.25">
      <c r="A29" s="6"/>
      <c r="B29" s="6"/>
      <c r="C29" s="6"/>
      <c r="D29" s="6"/>
      <c r="E29" s="7"/>
      <c r="F29" s="7"/>
      <c r="H29" s="4"/>
    </row>
    <row r="30" spans="1:8" x14ac:dyDescent="0.25">
      <c r="A30" s="6"/>
      <c r="B30" s="6"/>
      <c r="C30" s="6"/>
      <c r="D30" s="6"/>
      <c r="E30" s="7"/>
      <c r="F30" s="7"/>
      <c r="H30" s="4"/>
    </row>
    <row r="31" spans="1:8" x14ac:dyDescent="0.25">
      <c r="A31" s="6"/>
      <c r="B31" s="6"/>
      <c r="C31" s="6"/>
      <c r="D31" s="6"/>
      <c r="E31" s="7"/>
      <c r="F31" s="7"/>
      <c r="H31" s="4"/>
    </row>
    <row r="32" spans="1:8" x14ac:dyDescent="0.25">
      <c r="A32" s="6"/>
      <c r="B32" s="6"/>
      <c r="C32" s="6"/>
      <c r="D32" s="6"/>
      <c r="E32" s="7"/>
      <c r="F32" s="7"/>
      <c r="H32" s="4"/>
    </row>
    <row r="33" spans="1:8" x14ac:dyDescent="0.25">
      <c r="H33" s="4"/>
    </row>
    <row r="34" spans="1:8" x14ac:dyDescent="0.25">
      <c r="A34" s="99" t="s">
        <v>36</v>
      </c>
      <c r="B34" s="99"/>
      <c r="C34" s="99"/>
      <c r="D34" s="99"/>
      <c r="E34" s="99"/>
    </row>
    <row r="35" spans="1:8" ht="29.45" customHeight="1" x14ac:dyDescent="0.25">
      <c r="A35" s="5" t="s">
        <v>37</v>
      </c>
      <c r="B35" s="5" t="s">
        <v>38</v>
      </c>
      <c r="C35" s="5" t="s">
        <v>18</v>
      </c>
      <c r="D35" s="5" t="s">
        <v>39</v>
      </c>
      <c r="E35" s="5" t="s">
        <v>40</v>
      </c>
    </row>
    <row r="36" spans="1:8" x14ac:dyDescent="0.25">
      <c r="A36" s="6" t="s">
        <v>41</v>
      </c>
      <c r="B36" s="6" t="s">
        <v>43</v>
      </c>
      <c r="C36" s="6">
        <v>500</v>
      </c>
      <c r="D36" s="7">
        <v>9</v>
      </c>
      <c r="E36" s="7">
        <f>D36/C36</f>
        <v>1.7999999999999999E-2</v>
      </c>
    </row>
    <row r="37" spans="1:8" x14ac:dyDescent="0.25">
      <c r="A37" s="6" t="s">
        <v>42</v>
      </c>
      <c r="B37" s="6" t="s">
        <v>44</v>
      </c>
      <c r="C37" s="6">
        <v>500</v>
      </c>
      <c r="D37" s="7">
        <v>12</v>
      </c>
      <c r="E37" s="7">
        <f t="shared" ref="E37:E41" si="1">D37/C37</f>
        <v>2.4E-2</v>
      </c>
    </row>
    <row r="38" spans="1:8" x14ac:dyDescent="0.25">
      <c r="A38" s="6" t="s">
        <v>45</v>
      </c>
      <c r="B38" s="6" t="s">
        <v>46</v>
      </c>
      <c r="C38" s="6">
        <v>300</v>
      </c>
      <c r="D38" s="7">
        <v>20</v>
      </c>
      <c r="E38" s="7">
        <f t="shared" si="1"/>
        <v>6.6666666666666666E-2</v>
      </c>
    </row>
    <row r="39" spans="1:8" x14ac:dyDescent="0.25">
      <c r="A39" s="6" t="s">
        <v>48</v>
      </c>
      <c r="B39" s="6" t="s">
        <v>47</v>
      </c>
      <c r="C39" s="6">
        <v>10000</v>
      </c>
      <c r="D39" s="7">
        <v>260</v>
      </c>
      <c r="E39" s="7">
        <f t="shared" si="1"/>
        <v>2.5999999999999999E-2</v>
      </c>
    </row>
    <row r="40" spans="1:8" x14ac:dyDescent="0.25">
      <c r="A40" s="6" t="s">
        <v>51</v>
      </c>
      <c r="B40" s="6" t="s">
        <v>49</v>
      </c>
      <c r="C40" s="6">
        <v>10000</v>
      </c>
      <c r="D40" s="7">
        <v>330</v>
      </c>
      <c r="E40" s="7">
        <f t="shared" si="1"/>
        <v>3.3000000000000002E-2</v>
      </c>
    </row>
    <row r="41" spans="1:8" x14ac:dyDescent="0.25">
      <c r="A41" s="6" t="s">
        <v>50</v>
      </c>
      <c r="B41" s="6" t="s">
        <v>49</v>
      </c>
      <c r="C41" s="6">
        <v>10000</v>
      </c>
      <c r="D41" s="7">
        <v>415</v>
      </c>
      <c r="E41" s="7">
        <f t="shared" si="1"/>
        <v>4.1500000000000002E-2</v>
      </c>
    </row>
  </sheetData>
  <mergeCells count="3">
    <mergeCell ref="A1:F1"/>
    <mergeCell ref="A4:F4"/>
    <mergeCell ref="A34:E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D490-702A-4DEE-9D33-A0C641AC56BE}">
  <sheetPr codeName="Sheet5"/>
  <dimension ref="A1:H44"/>
  <sheetViews>
    <sheetView workbookViewId="0">
      <selection activeCell="K26" sqref="K26"/>
    </sheetView>
  </sheetViews>
  <sheetFormatPr defaultRowHeight="15" x14ac:dyDescent="0.25"/>
  <cols>
    <col min="1" max="1" width="16" bestFit="1" customWidth="1"/>
    <col min="2" max="2" width="9.85546875" customWidth="1"/>
    <col min="3" max="3" width="8.140625" bestFit="1" customWidth="1"/>
    <col min="4" max="4" width="9.42578125" bestFit="1" customWidth="1"/>
    <col min="5" max="5" width="13.7109375" bestFit="1" customWidth="1"/>
    <col min="6" max="6" width="20.7109375" bestFit="1" customWidth="1"/>
  </cols>
  <sheetData>
    <row r="1" spans="1:8" x14ac:dyDescent="0.25">
      <c r="A1" s="98" t="s">
        <v>14</v>
      </c>
      <c r="B1" s="98"/>
      <c r="C1" s="98"/>
      <c r="D1" s="98"/>
      <c r="E1" s="98"/>
      <c r="F1" s="98"/>
    </row>
    <row r="4" spans="1:8" x14ac:dyDescent="0.25">
      <c r="A4" s="99" t="s">
        <v>15</v>
      </c>
      <c r="B4" s="99"/>
      <c r="C4" s="99"/>
      <c r="D4" s="99"/>
      <c r="E4" s="99"/>
      <c r="F4" s="99"/>
    </row>
    <row r="5" spans="1:8" x14ac:dyDescent="0.25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105</v>
      </c>
      <c r="G5" s="84" t="s">
        <v>106</v>
      </c>
    </row>
    <row r="6" spans="1:8" x14ac:dyDescent="0.25">
      <c r="A6" s="6" t="s">
        <v>6</v>
      </c>
      <c r="B6" s="6" t="s">
        <v>21</v>
      </c>
      <c r="C6" s="6">
        <v>100</v>
      </c>
      <c r="D6" s="6" t="s">
        <v>22</v>
      </c>
      <c r="E6" s="7">
        <v>285</v>
      </c>
      <c r="F6" s="7">
        <f>E6/C6</f>
        <v>2.85</v>
      </c>
      <c r="G6">
        <v>3.14</v>
      </c>
      <c r="H6" s="4">
        <f t="shared" ref="H6:H35" si="0">G6-F6</f>
        <v>0.29000000000000004</v>
      </c>
    </row>
    <row r="7" spans="1:8" x14ac:dyDescent="0.25">
      <c r="A7" s="6" t="s">
        <v>116</v>
      </c>
      <c r="B7" s="6" t="s">
        <v>21</v>
      </c>
      <c r="C7" s="6">
        <v>50</v>
      </c>
      <c r="D7" s="6" t="s">
        <v>117</v>
      </c>
      <c r="E7" s="7">
        <f>7.5*50</f>
        <v>375</v>
      </c>
      <c r="F7" s="7">
        <f>E7/C7</f>
        <v>7.5</v>
      </c>
      <c r="H7" s="4"/>
    </row>
    <row r="8" spans="1:8" x14ac:dyDescent="0.25">
      <c r="A8" s="6" t="s">
        <v>25</v>
      </c>
      <c r="B8" s="6" t="s">
        <v>26</v>
      </c>
      <c r="C8" s="6">
        <v>100</v>
      </c>
      <c r="D8" s="6" t="s">
        <v>22</v>
      </c>
      <c r="E8" s="7">
        <v>285</v>
      </c>
      <c r="F8" s="7">
        <f>E8/C8</f>
        <v>2.85</v>
      </c>
      <c r="G8">
        <v>3.12</v>
      </c>
      <c r="H8" s="4">
        <f t="shared" si="0"/>
        <v>0.27</v>
      </c>
    </row>
    <row r="9" spans="1:8" x14ac:dyDescent="0.25">
      <c r="A9" s="6" t="s">
        <v>171</v>
      </c>
      <c r="B9" s="6" t="s">
        <v>81</v>
      </c>
      <c r="C9" s="6">
        <v>1</v>
      </c>
      <c r="D9" s="6" t="s">
        <v>22</v>
      </c>
      <c r="E9" s="7">
        <v>13</v>
      </c>
      <c r="F9" s="7">
        <f>E9/C9</f>
        <v>13</v>
      </c>
      <c r="G9">
        <v>15</v>
      </c>
      <c r="H9" s="4"/>
    </row>
    <row r="10" spans="1:8" x14ac:dyDescent="0.25">
      <c r="A10" s="6" t="s">
        <v>7</v>
      </c>
      <c r="B10" s="6" t="s">
        <v>21</v>
      </c>
      <c r="C10" s="6">
        <v>100</v>
      </c>
      <c r="D10" s="6" t="s">
        <v>22</v>
      </c>
      <c r="E10" s="7">
        <v>450</v>
      </c>
      <c r="F10" s="7">
        <f t="shared" ref="F10:F35" si="1">E10/C10</f>
        <v>4.5</v>
      </c>
      <c r="G10">
        <v>3.9</v>
      </c>
      <c r="H10" s="4">
        <f t="shared" si="0"/>
        <v>-0.60000000000000009</v>
      </c>
    </row>
    <row r="11" spans="1:8" x14ac:dyDescent="0.25">
      <c r="A11" s="6" t="s">
        <v>8</v>
      </c>
      <c r="B11" s="6" t="s">
        <v>27</v>
      </c>
      <c r="C11" s="6">
        <v>10</v>
      </c>
      <c r="D11" s="6" t="s">
        <v>19</v>
      </c>
      <c r="E11" s="7">
        <v>115</v>
      </c>
      <c r="F11" s="7">
        <f t="shared" si="1"/>
        <v>11.5</v>
      </c>
      <c r="G11">
        <v>11</v>
      </c>
      <c r="H11" s="4">
        <f t="shared" si="0"/>
        <v>-0.5</v>
      </c>
    </row>
    <row r="12" spans="1:8" x14ac:dyDescent="0.25">
      <c r="A12" s="6" t="s">
        <v>9</v>
      </c>
      <c r="B12" s="6" t="s">
        <v>26</v>
      </c>
      <c r="C12" s="6">
        <v>5</v>
      </c>
      <c r="D12" s="6" t="s">
        <v>22</v>
      </c>
      <c r="E12" s="7">
        <v>23</v>
      </c>
      <c r="F12" s="7">
        <f t="shared" si="1"/>
        <v>4.5999999999999996</v>
      </c>
      <c r="G12">
        <v>23</v>
      </c>
      <c r="H12" s="4">
        <f t="shared" si="0"/>
        <v>18.399999999999999</v>
      </c>
    </row>
    <row r="13" spans="1:8" x14ac:dyDescent="0.25">
      <c r="A13" s="6" t="s">
        <v>92</v>
      </c>
      <c r="B13" s="6" t="s">
        <v>93</v>
      </c>
      <c r="C13" s="6">
        <v>28</v>
      </c>
      <c r="D13" s="6" t="s">
        <v>94</v>
      </c>
      <c r="E13" s="7">
        <v>24</v>
      </c>
      <c r="F13" s="7">
        <f t="shared" si="1"/>
        <v>0.8571428571428571</v>
      </c>
      <c r="G13">
        <v>0.8571428571428571</v>
      </c>
      <c r="H13" s="4">
        <f t="shared" si="0"/>
        <v>0</v>
      </c>
    </row>
    <row r="14" spans="1:8" x14ac:dyDescent="0.25">
      <c r="A14" s="6" t="s">
        <v>95</v>
      </c>
      <c r="B14" s="6" t="s">
        <v>96</v>
      </c>
      <c r="C14" s="6">
        <v>32</v>
      </c>
      <c r="D14" s="6" t="s">
        <v>94</v>
      </c>
      <c r="E14" s="7">
        <v>23</v>
      </c>
      <c r="F14" s="7">
        <f t="shared" si="1"/>
        <v>0.71875</v>
      </c>
      <c r="G14">
        <v>0.9375</v>
      </c>
      <c r="H14" s="4">
        <f t="shared" si="0"/>
        <v>0.21875</v>
      </c>
    </row>
    <row r="15" spans="1:8" x14ac:dyDescent="0.25">
      <c r="A15" s="6" t="s">
        <v>118</v>
      </c>
      <c r="B15" s="6" t="s">
        <v>120</v>
      </c>
      <c r="C15" s="6">
        <v>2.2000000000000002</v>
      </c>
      <c r="D15" s="6" t="s">
        <v>22</v>
      </c>
      <c r="E15" s="7">
        <v>16</v>
      </c>
      <c r="F15" s="7">
        <f t="shared" si="1"/>
        <v>7.2727272727272725</v>
      </c>
      <c r="H15" s="4"/>
    </row>
    <row r="16" spans="1:8" x14ac:dyDescent="0.25">
      <c r="A16" s="6" t="s">
        <v>119</v>
      </c>
      <c r="B16" s="6" t="s">
        <v>120</v>
      </c>
      <c r="C16" s="6">
        <v>2.2000000000000002</v>
      </c>
      <c r="D16" s="6" t="s">
        <v>22</v>
      </c>
      <c r="E16" s="7">
        <v>12.5</v>
      </c>
      <c r="F16" s="7">
        <f t="shared" si="1"/>
        <v>5.6818181818181817</v>
      </c>
      <c r="H16" s="4"/>
    </row>
    <row r="17" spans="1:8" x14ac:dyDescent="0.25">
      <c r="A17" s="6" t="s">
        <v>103</v>
      </c>
      <c r="B17" s="6" t="s">
        <v>93</v>
      </c>
      <c r="C17" s="6">
        <v>2.2000000000000002</v>
      </c>
      <c r="D17" s="6" t="s">
        <v>22</v>
      </c>
      <c r="E17" s="7">
        <v>16</v>
      </c>
      <c r="F17" s="7">
        <f t="shared" si="1"/>
        <v>7.2727272727272725</v>
      </c>
      <c r="G17">
        <v>10.454545454545453</v>
      </c>
      <c r="H17" s="4">
        <f t="shared" si="0"/>
        <v>3.1818181818181808</v>
      </c>
    </row>
    <row r="18" spans="1:8" x14ac:dyDescent="0.25">
      <c r="A18" s="6" t="s">
        <v>99</v>
      </c>
      <c r="B18" s="6" t="s">
        <v>81</v>
      </c>
      <c r="C18" s="6">
        <v>1</v>
      </c>
      <c r="D18" s="6" t="s">
        <v>22</v>
      </c>
      <c r="E18" s="7">
        <v>21</v>
      </c>
      <c r="F18" s="7">
        <f t="shared" si="1"/>
        <v>21</v>
      </c>
      <c r="G18">
        <v>21</v>
      </c>
      <c r="H18" s="4">
        <f t="shared" si="0"/>
        <v>0</v>
      </c>
    </row>
    <row r="19" spans="1:8" x14ac:dyDescent="0.25">
      <c r="A19" s="6" t="s">
        <v>85</v>
      </c>
      <c r="B19" s="6" t="s">
        <v>91</v>
      </c>
      <c r="C19" s="6">
        <v>1</v>
      </c>
      <c r="D19" s="6" t="s">
        <v>22</v>
      </c>
      <c r="E19" s="7">
        <v>4</v>
      </c>
      <c r="F19" s="7">
        <f t="shared" si="1"/>
        <v>4</v>
      </c>
      <c r="G19">
        <v>4</v>
      </c>
      <c r="H19" s="4">
        <f t="shared" si="0"/>
        <v>0</v>
      </c>
    </row>
    <row r="20" spans="1:8" x14ac:dyDescent="0.25">
      <c r="A20" s="6" t="s">
        <v>88</v>
      </c>
      <c r="B20" s="6" t="s">
        <v>89</v>
      </c>
      <c r="C20" s="6">
        <v>1</v>
      </c>
      <c r="D20" s="6" t="s">
        <v>90</v>
      </c>
      <c r="E20" s="7">
        <v>14</v>
      </c>
      <c r="F20" s="7">
        <f t="shared" si="1"/>
        <v>14</v>
      </c>
      <c r="G20">
        <v>14</v>
      </c>
      <c r="H20" s="4">
        <f t="shared" si="0"/>
        <v>0</v>
      </c>
    </row>
    <row r="21" spans="1:8" x14ac:dyDescent="0.25">
      <c r="A21" s="6" t="s">
        <v>124</v>
      </c>
      <c r="B21" s="6" t="s">
        <v>94</v>
      </c>
      <c r="C21" s="6">
        <v>1</v>
      </c>
      <c r="D21" s="6" t="s">
        <v>180</v>
      </c>
      <c r="E21" s="7">
        <v>48</v>
      </c>
      <c r="F21" s="7">
        <f t="shared" si="1"/>
        <v>48</v>
      </c>
      <c r="H21" s="4"/>
    </row>
    <row r="22" spans="1:8" x14ac:dyDescent="0.25">
      <c r="A22" s="6" t="s">
        <v>10</v>
      </c>
      <c r="B22" s="6" t="s">
        <v>26</v>
      </c>
      <c r="C22" s="6">
        <v>10</v>
      </c>
      <c r="D22" s="6" t="s">
        <v>22</v>
      </c>
      <c r="E22" s="7">
        <v>15</v>
      </c>
      <c r="F22" s="7">
        <f t="shared" si="1"/>
        <v>1.5</v>
      </c>
      <c r="G22">
        <v>1</v>
      </c>
      <c r="H22" s="4">
        <f t="shared" si="0"/>
        <v>-0.5</v>
      </c>
    </row>
    <row r="23" spans="1:8" x14ac:dyDescent="0.25">
      <c r="A23" s="6" t="s">
        <v>123</v>
      </c>
      <c r="B23" s="6" t="s">
        <v>81</v>
      </c>
      <c r="C23" s="6">
        <v>1</v>
      </c>
      <c r="D23" s="6" t="s">
        <v>22</v>
      </c>
      <c r="E23" s="7">
        <f>32+1+1+2</f>
        <v>36</v>
      </c>
      <c r="F23" s="7">
        <f t="shared" si="1"/>
        <v>36</v>
      </c>
      <c r="H23" s="4"/>
    </row>
    <row r="24" spans="1:8" x14ac:dyDescent="0.25">
      <c r="A24" s="6" t="s">
        <v>11</v>
      </c>
      <c r="B24" s="6" t="s">
        <v>27</v>
      </c>
      <c r="C24" s="6">
        <v>27</v>
      </c>
      <c r="D24" s="6" t="s">
        <v>22</v>
      </c>
      <c r="E24" s="7">
        <v>207</v>
      </c>
      <c r="F24" s="7">
        <f t="shared" si="1"/>
        <v>7.666666666666667</v>
      </c>
      <c r="G24">
        <v>7.7777777777777777</v>
      </c>
      <c r="H24" s="4">
        <f t="shared" si="0"/>
        <v>0.11111111111111072</v>
      </c>
    </row>
    <row r="25" spans="1:8" x14ac:dyDescent="0.25">
      <c r="A25" s="6" t="s">
        <v>12</v>
      </c>
      <c r="B25" s="6" t="s">
        <v>28</v>
      </c>
      <c r="C25" s="6">
        <v>1</v>
      </c>
      <c r="D25" s="6" t="s">
        <v>179</v>
      </c>
      <c r="E25" s="7">
        <v>0.5</v>
      </c>
      <c r="F25" s="7">
        <f t="shared" si="1"/>
        <v>0.5</v>
      </c>
      <c r="G25">
        <v>3.125E-2</v>
      </c>
      <c r="H25" s="4">
        <f t="shared" si="0"/>
        <v>-0.46875</v>
      </c>
    </row>
    <row r="26" spans="1:8" x14ac:dyDescent="0.25">
      <c r="A26" s="6" t="s">
        <v>168</v>
      </c>
      <c r="B26" s="6" t="s">
        <v>81</v>
      </c>
      <c r="C26" s="6">
        <v>1</v>
      </c>
      <c r="D26" s="6" t="s">
        <v>22</v>
      </c>
      <c r="E26" s="7">
        <v>59.85</v>
      </c>
      <c r="F26" s="7">
        <f t="shared" si="1"/>
        <v>59.85</v>
      </c>
      <c r="H26" s="4"/>
    </row>
    <row r="27" spans="1:8" x14ac:dyDescent="0.25">
      <c r="A27" s="6" t="s">
        <v>109</v>
      </c>
      <c r="B27" s="6" t="s">
        <v>93</v>
      </c>
      <c r="C27" s="6">
        <v>1</v>
      </c>
      <c r="D27" s="6" t="s">
        <v>93</v>
      </c>
      <c r="E27" s="7">
        <v>1</v>
      </c>
      <c r="F27" s="7">
        <f>E27/C27</f>
        <v>1</v>
      </c>
      <c r="G27">
        <v>1.03125</v>
      </c>
      <c r="H27" s="4">
        <f t="shared" si="0"/>
        <v>3.125E-2</v>
      </c>
    </row>
    <row r="28" spans="1:8" x14ac:dyDescent="0.25">
      <c r="A28" s="6" t="s">
        <v>97</v>
      </c>
      <c r="B28" s="6" t="s">
        <v>81</v>
      </c>
      <c r="C28" s="6">
        <v>5</v>
      </c>
      <c r="D28" s="6" t="s">
        <v>22</v>
      </c>
      <c r="E28" s="7">
        <v>50</v>
      </c>
      <c r="F28" s="7">
        <f t="shared" si="1"/>
        <v>10</v>
      </c>
      <c r="G28">
        <v>7.166666666666667</v>
      </c>
      <c r="H28" s="4">
        <f t="shared" si="0"/>
        <v>-2.833333333333333</v>
      </c>
    </row>
    <row r="29" spans="1:8" x14ac:dyDescent="0.25">
      <c r="A29" s="6" t="s">
        <v>101</v>
      </c>
      <c r="B29" s="6" t="s">
        <v>81</v>
      </c>
      <c r="C29" s="6">
        <v>5</v>
      </c>
      <c r="D29" s="6" t="s">
        <v>22</v>
      </c>
      <c r="E29" s="7">
        <v>50</v>
      </c>
      <c r="F29" s="7">
        <f t="shared" si="1"/>
        <v>10</v>
      </c>
      <c r="G29">
        <v>9.3333333333333339</v>
      </c>
      <c r="H29" s="4">
        <f t="shared" si="0"/>
        <v>-0.66666666666666607</v>
      </c>
    </row>
    <row r="30" spans="1:8" x14ac:dyDescent="0.25">
      <c r="A30" s="6" t="s">
        <v>80</v>
      </c>
      <c r="B30" s="6" t="s">
        <v>94</v>
      </c>
      <c r="C30" s="6">
        <v>4</v>
      </c>
      <c r="D30" s="6" t="s">
        <v>94</v>
      </c>
      <c r="E30" s="7">
        <v>2.5</v>
      </c>
      <c r="F30" s="7">
        <f t="shared" si="1"/>
        <v>0.625</v>
      </c>
      <c r="H30" s="4"/>
    </row>
    <row r="31" spans="1:8" x14ac:dyDescent="0.25">
      <c r="A31" s="6" t="s">
        <v>98</v>
      </c>
      <c r="B31" s="6" t="s">
        <v>81</v>
      </c>
      <c r="C31" s="6">
        <v>2</v>
      </c>
      <c r="D31" s="6" t="s">
        <v>22</v>
      </c>
      <c r="E31" s="7">
        <v>22</v>
      </c>
      <c r="F31" s="7">
        <f t="shared" si="1"/>
        <v>11</v>
      </c>
      <c r="G31">
        <v>11</v>
      </c>
      <c r="H31" s="4">
        <f t="shared" si="0"/>
        <v>0</v>
      </c>
    </row>
    <row r="32" spans="1:8" x14ac:dyDescent="0.25">
      <c r="A32" s="6" t="s">
        <v>76</v>
      </c>
      <c r="B32" s="6" t="s">
        <v>77</v>
      </c>
      <c r="C32" s="6">
        <v>12</v>
      </c>
      <c r="D32" s="6" t="s">
        <v>78</v>
      </c>
      <c r="E32" s="7">
        <v>6</v>
      </c>
      <c r="F32" s="7">
        <f t="shared" si="1"/>
        <v>0.5</v>
      </c>
      <c r="G32">
        <v>0.5</v>
      </c>
      <c r="H32" s="4">
        <f t="shared" si="0"/>
        <v>0</v>
      </c>
    </row>
    <row r="33" spans="1:8" x14ac:dyDescent="0.25">
      <c r="A33" s="6" t="s">
        <v>23</v>
      </c>
      <c r="B33" s="6" t="s">
        <v>29</v>
      </c>
      <c r="C33" s="6">
        <v>30</v>
      </c>
      <c r="D33" s="6" t="s">
        <v>33</v>
      </c>
      <c r="E33" s="7">
        <v>45</v>
      </c>
      <c r="F33" s="7">
        <f t="shared" si="1"/>
        <v>1.5</v>
      </c>
      <c r="G33">
        <v>1</v>
      </c>
      <c r="H33" s="4">
        <f t="shared" si="0"/>
        <v>-0.5</v>
      </c>
    </row>
    <row r="34" spans="1:8" x14ac:dyDescent="0.25">
      <c r="A34" s="6" t="s">
        <v>24</v>
      </c>
      <c r="B34" s="6" t="s">
        <v>31</v>
      </c>
      <c r="C34" s="6">
        <v>600</v>
      </c>
      <c r="D34" s="6" t="s">
        <v>32</v>
      </c>
      <c r="E34" s="7">
        <v>40</v>
      </c>
      <c r="F34" s="7">
        <f t="shared" si="1"/>
        <v>6.6666666666666666E-2</v>
      </c>
      <c r="G34">
        <v>5.8333333333333334E-2</v>
      </c>
      <c r="H34" s="4">
        <f t="shared" si="0"/>
        <v>-8.3333333333333315E-3</v>
      </c>
    </row>
    <row r="35" spans="1:8" x14ac:dyDescent="0.25">
      <c r="A35" s="6" t="s">
        <v>30</v>
      </c>
      <c r="B35" s="6" t="s">
        <v>34</v>
      </c>
      <c r="C35" s="6">
        <v>16</v>
      </c>
      <c r="D35" s="6" t="s">
        <v>35</v>
      </c>
      <c r="E35" s="7">
        <v>40</v>
      </c>
      <c r="F35" s="7">
        <f t="shared" si="1"/>
        <v>2.5</v>
      </c>
      <c r="G35">
        <v>2.5</v>
      </c>
      <c r="H35" s="4">
        <f t="shared" si="0"/>
        <v>0</v>
      </c>
    </row>
    <row r="36" spans="1:8" x14ac:dyDescent="0.25">
      <c r="H36" s="4">
        <f>SUM(H6:H35)</f>
        <v>16.425845959595961</v>
      </c>
    </row>
    <row r="37" spans="1:8" x14ac:dyDescent="0.25">
      <c r="A37" s="99" t="s">
        <v>36</v>
      </c>
      <c r="B37" s="99"/>
      <c r="C37" s="99"/>
      <c r="D37" s="99"/>
      <c r="E37" s="99"/>
    </row>
    <row r="38" spans="1:8" ht="29.45" customHeight="1" x14ac:dyDescent="0.25">
      <c r="A38" s="5" t="s">
        <v>37</v>
      </c>
      <c r="B38" s="5" t="s">
        <v>38</v>
      </c>
      <c r="C38" s="5" t="s">
        <v>18</v>
      </c>
      <c r="D38" s="5" t="s">
        <v>39</v>
      </c>
      <c r="E38" s="5" t="s">
        <v>40</v>
      </c>
    </row>
    <row r="39" spans="1:8" x14ac:dyDescent="0.25">
      <c r="A39" s="6" t="s">
        <v>41</v>
      </c>
      <c r="B39" s="6" t="s">
        <v>43</v>
      </c>
      <c r="C39" s="6">
        <v>500</v>
      </c>
      <c r="D39" s="7">
        <v>9</v>
      </c>
      <c r="E39" s="7">
        <f>D39/C39</f>
        <v>1.7999999999999999E-2</v>
      </c>
    </row>
    <row r="40" spans="1:8" x14ac:dyDescent="0.25">
      <c r="A40" s="6" t="s">
        <v>42</v>
      </c>
      <c r="B40" s="6" t="s">
        <v>44</v>
      </c>
      <c r="C40" s="6">
        <v>500</v>
      </c>
      <c r="D40" s="7">
        <v>12</v>
      </c>
      <c r="E40" s="7">
        <f t="shared" ref="E40:E44" si="2">D40/C40</f>
        <v>2.4E-2</v>
      </c>
    </row>
    <row r="41" spans="1:8" x14ac:dyDescent="0.25">
      <c r="A41" s="6" t="s">
        <v>45</v>
      </c>
      <c r="B41" s="6" t="s">
        <v>46</v>
      </c>
      <c r="C41" s="6">
        <v>300</v>
      </c>
      <c r="D41" s="7">
        <v>20</v>
      </c>
      <c r="E41" s="7">
        <f t="shared" si="2"/>
        <v>6.6666666666666666E-2</v>
      </c>
    </row>
    <row r="42" spans="1:8" x14ac:dyDescent="0.25">
      <c r="A42" s="6" t="s">
        <v>48</v>
      </c>
      <c r="B42" s="6" t="s">
        <v>47</v>
      </c>
      <c r="C42" s="6">
        <v>10000</v>
      </c>
      <c r="D42" s="7">
        <v>260</v>
      </c>
      <c r="E42" s="7">
        <f t="shared" si="2"/>
        <v>2.5999999999999999E-2</v>
      </c>
    </row>
    <row r="43" spans="1:8" x14ac:dyDescent="0.25">
      <c r="A43" s="6" t="s">
        <v>51</v>
      </c>
      <c r="B43" s="6" t="s">
        <v>49</v>
      </c>
      <c r="C43" s="6">
        <v>10000</v>
      </c>
      <c r="D43" s="7">
        <v>330</v>
      </c>
      <c r="E43" s="7">
        <f t="shared" si="2"/>
        <v>3.3000000000000002E-2</v>
      </c>
    </row>
    <row r="44" spans="1:8" x14ac:dyDescent="0.25">
      <c r="A44" s="6" t="s">
        <v>50</v>
      </c>
      <c r="B44" s="6" t="s">
        <v>49</v>
      </c>
      <c r="C44" s="6">
        <v>10000</v>
      </c>
      <c r="D44" s="7">
        <v>415</v>
      </c>
      <c r="E44" s="7">
        <f t="shared" si="2"/>
        <v>4.1500000000000002E-2</v>
      </c>
    </row>
  </sheetData>
  <mergeCells count="3">
    <mergeCell ref="A1:F1"/>
    <mergeCell ref="A4:F4"/>
    <mergeCell ref="A37:E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65E7-EDAF-46A1-9120-9650B9EF1F94}">
  <sheetPr codeName="Sheet6"/>
  <dimension ref="B1:O28"/>
  <sheetViews>
    <sheetView tabSelected="1" workbookViewId="0">
      <selection activeCell="H24" sqref="H24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178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5</v>
      </c>
      <c r="E4" s="57"/>
      <c r="F4" s="58">
        <f>IFERROR(D4+E4/16,"")</f>
        <v>5</v>
      </c>
      <c r="G4" s="59">
        <f>IFERROR(VLOOKUP(B4,'MP Pan'!$A$6:$F$35,6,FALSE),0)</f>
        <v>2.85</v>
      </c>
      <c r="H4" s="59">
        <f>F4*G4</f>
        <v>14.25</v>
      </c>
      <c r="I4" s="58">
        <f>F4/$F$14</f>
        <v>0.48338368580060426</v>
      </c>
      <c r="J4" s="60">
        <f>$D$20*I4</f>
        <v>1.2307692307692308</v>
      </c>
      <c r="K4" s="61">
        <f>(G4/16)*J4</f>
        <v>0.21923076923076926</v>
      </c>
      <c r="L4" s="35"/>
    </row>
    <row r="5" spans="2:15" x14ac:dyDescent="0.25">
      <c r="B5" s="53" t="s">
        <v>8</v>
      </c>
      <c r="C5" s="30">
        <f>IFERROR(($C$4*F5)/$D$4,"")</f>
        <v>2.5000000000000001E-2</v>
      </c>
      <c r="D5" s="31"/>
      <c r="E5" s="31">
        <v>2</v>
      </c>
      <c r="F5" s="32">
        <f t="shared" ref="F5:F12" si="0">IFERROR(D5+E5/16,"")</f>
        <v>0.125</v>
      </c>
      <c r="G5" s="33">
        <f>IFERROR(VLOOKUP(B5,'MP Pan'!$A$6:$F$35,6,FALSE),0)</f>
        <v>11.5</v>
      </c>
      <c r="H5" s="33">
        <f t="shared" ref="H5:H13" si="1">F5*G5</f>
        <v>1.4375</v>
      </c>
      <c r="I5" s="32">
        <f t="shared" ref="I5:I13" si="2">F5/$F$14</f>
        <v>1.2084592145015106E-2</v>
      </c>
      <c r="J5" s="34">
        <f t="shared" ref="J5:J13" si="3">$D$20*I5</f>
        <v>3.0769230769230767E-2</v>
      </c>
      <c r="K5" s="54">
        <f t="shared" ref="K5:K13" si="4">(G5/16)*J5</f>
        <v>2.2115384615384613E-2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6.2500000000000003E-3</v>
      </c>
      <c r="D6" s="31"/>
      <c r="E6" s="31">
        <v>0.5</v>
      </c>
      <c r="F6" s="32">
        <f t="shared" si="0"/>
        <v>3.125E-2</v>
      </c>
      <c r="G6" s="33">
        <f>IFERROR(VLOOKUP(B6,'MP Pan'!$A$6:$F$35,6,FALSE),0)</f>
        <v>1.5</v>
      </c>
      <c r="H6" s="33">
        <f t="shared" si="1"/>
        <v>4.6875E-2</v>
      </c>
      <c r="I6" s="32">
        <f t="shared" si="2"/>
        <v>3.0211480362537764E-3</v>
      </c>
      <c r="J6" s="34">
        <f t="shared" si="3"/>
        <v>7.6923076923076919E-3</v>
      </c>
      <c r="K6" s="54">
        <f t="shared" si="4"/>
        <v>7.2115384615384609E-4</v>
      </c>
      <c r="L6" s="35"/>
      <c r="O6" s="35"/>
    </row>
    <row r="7" spans="2:15" x14ac:dyDescent="0.25">
      <c r="B7" s="53" t="s">
        <v>7</v>
      </c>
      <c r="C7" s="30">
        <f t="shared" si="5"/>
        <v>0.42499999999999999</v>
      </c>
      <c r="D7" s="31">
        <v>2</v>
      </c>
      <c r="E7" s="31">
        <v>2</v>
      </c>
      <c r="F7" s="32">
        <f>IFERROR(D7+E7/16,"")</f>
        <v>2.125</v>
      </c>
      <c r="G7" s="33">
        <f>IFERROR(VLOOKUP(B7,'MP Pan'!$A$6:$F$35,6,FALSE),0)</f>
        <v>4.5</v>
      </c>
      <c r="H7" s="33">
        <f t="shared" si="1"/>
        <v>9.5625</v>
      </c>
      <c r="I7" s="32">
        <f t="shared" si="2"/>
        <v>0.20543806646525681</v>
      </c>
      <c r="J7" s="34">
        <f t="shared" si="3"/>
        <v>0.52307692307692311</v>
      </c>
      <c r="K7" s="54">
        <f t="shared" si="4"/>
        <v>0.14711538461538462</v>
      </c>
      <c r="N7" s="35"/>
      <c r="O7" s="35"/>
    </row>
    <row r="8" spans="2:15" x14ac:dyDescent="0.25">
      <c r="B8" s="53" t="s">
        <v>11</v>
      </c>
      <c r="C8" s="30">
        <f t="shared" si="5"/>
        <v>0.1</v>
      </c>
      <c r="D8" s="31"/>
      <c r="E8" s="31">
        <v>8</v>
      </c>
      <c r="F8" s="32">
        <f t="shared" si="0"/>
        <v>0.5</v>
      </c>
      <c r="G8" s="33">
        <f>IFERROR(VLOOKUP(B8,'MP Pan'!$A$6:$F$35,6,FALSE),0)</f>
        <v>7.666666666666667</v>
      </c>
      <c r="H8" s="33">
        <f t="shared" si="1"/>
        <v>3.8333333333333335</v>
      </c>
      <c r="I8" s="32">
        <f t="shared" si="2"/>
        <v>4.8338368580060423E-2</v>
      </c>
      <c r="J8" s="34">
        <f t="shared" si="3"/>
        <v>0.12307692307692307</v>
      </c>
      <c r="K8" s="54">
        <f t="shared" si="4"/>
        <v>5.8974358974358973E-2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0.5</v>
      </c>
      <c r="D9" s="31">
        <v>2</v>
      </c>
      <c r="E9" s="31">
        <v>8</v>
      </c>
      <c r="F9" s="32">
        <f t="shared" si="0"/>
        <v>2.5</v>
      </c>
      <c r="G9" s="33">
        <f>IFERROR(VLOOKUP(B9,'MP Pan'!$A$6:$F$35,6,FALSE),0)</f>
        <v>0.5</v>
      </c>
      <c r="H9" s="33">
        <f t="shared" si="1"/>
        <v>1.25</v>
      </c>
      <c r="I9" s="32">
        <f t="shared" si="2"/>
        <v>0.24169184290030213</v>
      </c>
      <c r="J9" s="34">
        <f t="shared" si="3"/>
        <v>0.61538461538461542</v>
      </c>
      <c r="K9" s="54">
        <f t="shared" si="4"/>
        <v>1.9230769230769232E-2</v>
      </c>
      <c r="M9" s="95"/>
      <c r="N9" s="95"/>
      <c r="O9" s="35"/>
    </row>
    <row r="10" spans="2:15" x14ac:dyDescent="0.25">
      <c r="B10" s="53" t="s">
        <v>124</v>
      </c>
      <c r="C10" s="30">
        <f t="shared" si="5"/>
        <v>1.2500000000000001E-2</v>
      </c>
      <c r="D10" s="31"/>
      <c r="E10" s="31">
        <v>1</v>
      </c>
      <c r="F10" s="32">
        <f t="shared" si="0"/>
        <v>6.25E-2</v>
      </c>
      <c r="G10" s="33">
        <f>IFERROR(VLOOKUP(B10,'MP Pan'!$A$6:$F$35,6,FALSE),0)</f>
        <v>48</v>
      </c>
      <c r="H10" s="33">
        <f t="shared" si="1"/>
        <v>3</v>
      </c>
      <c r="I10" s="32">
        <f t="shared" si="2"/>
        <v>6.0422960725075529E-3</v>
      </c>
      <c r="J10" s="34">
        <f t="shared" si="3"/>
        <v>1.5384615384615384E-2</v>
      </c>
      <c r="K10" s="54">
        <f t="shared" si="4"/>
        <v>4.6153846153846149E-2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9</v>
      </c>
      <c r="E14" s="75">
        <f t="shared" si="6"/>
        <v>21.5</v>
      </c>
      <c r="F14" s="75">
        <f t="shared" si="6"/>
        <v>10.34375</v>
      </c>
      <c r="G14" s="76">
        <f t="shared" si="6"/>
        <v>76.516666666666666</v>
      </c>
      <c r="H14" s="76">
        <f t="shared" si="6"/>
        <v>33.380208333333329</v>
      </c>
      <c r="I14" s="75">
        <f t="shared" si="6"/>
        <v>1</v>
      </c>
      <c r="J14" s="77">
        <f>$D$20*I14</f>
        <v>2.546153846153846</v>
      </c>
      <c r="K14" s="78">
        <f>SUM(K4:K13)</f>
        <v>0.51354166666666667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f>13*5</f>
        <v>65</v>
      </c>
      <c r="E16" s="27" t="str">
        <f>_xlfn.CONCAT("Pan ",B2,)</f>
        <v>Pan Roscas de color</v>
      </c>
      <c r="F16" s="25"/>
      <c r="G16" s="52" t="s">
        <v>56</v>
      </c>
      <c r="H16" s="49">
        <f>D16*30</f>
        <v>1950</v>
      </c>
      <c r="I16" s="35"/>
    </row>
    <row r="17" spans="2:11" ht="15.75" thickBot="1" x14ac:dyDescent="0.3">
      <c r="C17" s="39" t="s">
        <v>54</v>
      </c>
      <c r="D17" s="40">
        <v>1</v>
      </c>
      <c r="E17" s="35"/>
      <c r="F17" s="25"/>
      <c r="G17" s="46" t="s">
        <v>57</v>
      </c>
      <c r="H17" s="47">
        <f>H16*D17</f>
        <v>1950</v>
      </c>
      <c r="I17" s="35"/>
      <c r="K17" s="85"/>
    </row>
    <row r="18" spans="2:11" ht="15.75" thickBot="1" x14ac:dyDescent="0.3"/>
    <row r="19" spans="2:11" x14ac:dyDescent="0.25">
      <c r="C19" s="48" t="s">
        <v>67</v>
      </c>
      <c r="D19" s="49">
        <f>F14*16</f>
        <v>165.5</v>
      </c>
    </row>
    <row r="20" spans="2:11" ht="15.75" thickBot="1" x14ac:dyDescent="0.3">
      <c r="C20" s="50" t="s">
        <v>68</v>
      </c>
      <c r="D20" s="51">
        <f>D19/D16</f>
        <v>2.546153846153846</v>
      </c>
    </row>
    <row r="21" spans="2:11" ht="15.75" thickBot="1" x14ac:dyDescent="0.3"/>
    <row r="22" spans="2:11" x14ac:dyDescent="0.25">
      <c r="C22" s="41" t="s">
        <v>71</v>
      </c>
      <c r="D22" s="42"/>
      <c r="E22" s="43">
        <f>H14*1.36</f>
        <v>45.397083333333327</v>
      </c>
      <c r="F22" s="35"/>
      <c r="G22" s="35"/>
      <c r="H22" s="35"/>
    </row>
    <row r="23" spans="2:11" x14ac:dyDescent="0.25">
      <c r="C23" s="44" t="s">
        <v>70</v>
      </c>
      <c r="D23" s="39"/>
      <c r="E23" s="45">
        <f>D17*D16</f>
        <v>65</v>
      </c>
    </row>
    <row r="24" spans="2:11" x14ac:dyDescent="0.25">
      <c r="C24" s="44" t="s">
        <v>66</v>
      </c>
      <c r="D24" s="39"/>
      <c r="E24" s="45">
        <f>E23-E22</f>
        <v>19.602916666666673</v>
      </c>
    </row>
    <row r="25" spans="2:11" ht="15.75" thickBot="1" x14ac:dyDescent="0.3">
      <c r="C25" s="90" t="s">
        <v>72</v>
      </c>
      <c r="D25" s="91"/>
      <c r="E25" s="79">
        <f>E24/E22</f>
        <v>0.43181004653382671</v>
      </c>
      <c r="G25" s="35"/>
    </row>
    <row r="28" spans="2:11" x14ac:dyDescent="0.25">
      <c r="B28" s="26" t="s">
        <v>177</v>
      </c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36E6-5C8E-4EFB-AF77-C393D30BCFF5}">
  <sheetPr codeName="Sheet7"/>
  <dimension ref="B1:O26"/>
  <sheetViews>
    <sheetView topLeftCell="A5" workbookViewId="0">
      <selection activeCell="K16" sqref="K16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1" width="24.5703125" style="26" customWidth="1"/>
    <col min="12" max="16384" width="9.140625" style="26"/>
  </cols>
  <sheetData>
    <row r="1" spans="2:15" ht="15.75" thickBot="1" x14ac:dyDescent="0.3"/>
    <row r="2" spans="2:15" ht="15.75" thickBot="1" x14ac:dyDescent="0.3">
      <c r="B2" s="92" t="s">
        <v>115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75</v>
      </c>
      <c r="C4" s="56">
        <v>1</v>
      </c>
      <c r="D4" s="57">
        <v>1</v>
      </c>
      <c r="E4" s="57"/>
      <c r="F4" s="58">
        <f>IFERROR(D4+E4/16,"")</f>
        <v>1</v>
      </c>
      <c r="G4" s="59">
        <f>IFERROR(VLOOKUP(B4,'MP Pan'!$A$6:$F$35,6,FALSE),0)</f>
        <v>2.85</v>
      </c>
      <c r="H4" s="59">
        <f>F4*G4</f>
        <v>2.85</v>
      </c>
      <c r="I4" s="58">
        <f t="shared" ref="I4:I14" si="0">F4/$F$15</f>
        <v>0.1525989508822127</v>
      </c>
      <c r="J4" s="60">
        <f t="shared" ref="J4:J15" si="1">$D$21*I4</f>
        <v>0.8</v>
      </c>
      <c r="K4" s="61">
        <f>(G4/16)*J4</f>
        <v>0.14250000000000002</v>
      </c>
      <c r="L4" s="35"/>
    </row>
    <row r="5" spans="2:15" x14ac:dyDescent="0.25">
      <c r="B5" s="53" t="s">
        <v>170</v>
      </c>
      <c r="C5" s="30">
        <f>IFERROR(($C$4*F5)/$D$4,"")</f>
        <v>0.75</v>
      </c>
      <c r="D5" s="31"/>
      <c r="E5" s="31">
        <v>12</v>
      </c>
      <c r="F5" s="32">
        <f t="shared" ref="F5:F13" si="2">IFERROR(D5+E5/16,"")</f>
        <v>0.75</v>
      </c>
      <c r="G5" s="33">
        <f>IFERROR(VLOOKUP(B5,'MP Pan'!$A$6:$F$35,6,FALSE),0)</f>
        <v>13</v>
      </c>
      <c r="H5" s="33">
        <f t="shared" ref="H5:H14" si="3">F5*G5</f>
        <v>9.75</v>
      </c>
      <c r="I5" s="32">
        <f t="shared" si="0"/>
        <v>0.11444921316165951</v>
      </c>
      <c r="J5" s="34">
        <f t="shared" si="1"/>
        <v>0.6</v>
      </c>
      <c r="K5" s="54">
        <f t="shared" ref="K5:K14" si="4">(G5/16)*J5</f>
        <v>0.48749999999999999</v>
      </c>
      <c r="L5" s="35"/>
      <c r="N5" s="35"/>
      <c r="O5" s="35"/>
    </row>
    <row r="6" spans="2:15" x14ac:dyDescent="0.25">
      <c r="B6" s="53" t="s">
        <v>107</v>
      </c>
      <c r="C6" s="30">
        <f t="shared" ref="C6:C14" si="5">IFERROR(($C$4*F6)/$D$4,"")</f>
        <v>0.5</v>
      </c>
      <c r="D6" s="31"/>
      <c r="E6" s="31">
        <v>8</v>
      </c>
      <c r="F6" s="32">
        <f t="shared" si="2"/>
        <v>0.5</v>
      </c>
      <c r="G6" s="33">
        <f>IFERROR(VLOOKUP(B6,'MP Pan'!$A$6:$F$35,6,FALSE),0)</f>
        <v>4.5</v>
      </c>
      <c r="H6" s="33">
        <f t="shared" si="3"/>
        <v>2.25</v>
      </c>
      <c r="I6" s="32">
        <f t="shared" si="0"/>
        <v>7.6299475441106351E-2</v>
      </c>
      <c r="J6" s="34">
        <f t="shared" si="1"/>
        <v>0.4</v>
      </c>
      <c r="K6" s="54">
        <f t="shared" si="4"/>
        <v>0.1125</v>
      </c>
      <c r="L6" s="35"/>
      <c r="O6" s="35"/>
    </row>
    <row r="7" spans="2:15" x14ac:dyDescent="0.25">
      <c r="B7" s="53" t="s">
        <v>172</v>
      </c>
      <c r="C7" s="30">
        <f t="shared" si="5"/>
        <v>0.375</v>
      </c>
      <c r="D7" s="31"/>
      <c r="E7" s="31">
        <v>6</v>
      </c>
      <c r="F7" s="32">
        <f t="shared" si="2"/>
        <v>0.375</v>
      </c>
      <c r="G7" s="33">
        <f>IFERROR(VLOOKUP(B7,'MP Pan'!$A$6:$F$35,6,FALSE),0)</f>
        <v>0.625</v>
      </c>
      <c r="H7" s="33">
        <f t="shared" si="3"/>
        <v>0.234375</v>
      </c>
      <c r="I7" s="32">
        <f t="shared" si="0"/>
        <v>5.7224606580829757E-2</v>
      </c>
      <c r="J7" s="34">
        <f t="shared" si="1"/>
        <v>0.3</v>
      </c>
      <c r="K7" s="54">
        <f t="shared" si="4"/>
        <v>1.171875E-2</v>
      </c>
      <c r="N7" s="35"/>
      <c r="O7" s="35"/>
    </row>
    <row r="8" spans="2:15" x14ac:dyDescent="0.25">
      <c r="B8" s="53" t="s">
        <v>83</v>
      </c>
      <c r="C8" s="30">
        <f t="shared" si="5"/>
        <v>2</v>
      </c>
      <c r="D8" s="31">
        <v>2</v>
      </c>
      <c r="E8" s="31"/>
      <c r="F8" s="32">
        <f t="shared" si="2"/>
        <v>2</v>
      </c>
      <c r="G8" s="33">
        <f>IFERROR(VLOOKUP(B8,'MP Pan'!$A$6:$F$35,6,FALSE),0)</f>
        <v>1.5</v>
      </c>
      <c r="H8" s="33">
        <f t="shared" si="3"/>
        <v>3</v>
      </c>
      <c r="I8" s="32">
        <f t="shared" si="0"/>
        <v>0.30519790176442541</v>
      </c>
      <c r="J8" s="34">
        <f t="shared" si="1"/>
        <v>1.6</v>
      </c>
      <c r="K8" s="54">
        <f t="shared" si="4"/>
        <v>0.15000000000000002</v>
      </c>
      <c r="M8" s="95"/>
      <c r="N8" s="95"/>
      <c r="O8" s="35"/>
    </row>
    <row r="9" spans="2:15" x14ac:dyDescent="0.25">
      <c r="B9" s="53" t="s">
        <v>110</v>
      </c>
      <c r="C9" s="30"/>
      <c r="D9" s="31"/>
      <c r="E9" s="31">
        <v>1</v>
      </c>
      <c r="F9" s="32">
        <f t="shared" ref="F9" si="6">IFERROR(D9+E9/16,"")</f>
        <v>6.25E-2</v>
      </c>
      <c r="G9" s="33">
        <f>IFERROR(VLOOKUP(B9,'MP Pan'!$A$6:$F$35,6,FALSE),0)</f>
        <v>6.6666666666666666E-2</v>
      </c>
      <c r="H9" s="33">
        <f t="shared" ref="H9" si="7">F9*G9</f>
        <v>4.1666666666666666E-3</v>
      </c>
      <c r="I9" s="32">
        <f t="shared" si="0"/>
        <v>9.5374344301382939E-3</v>
      </c>
      <c r="J9" s="34">
        <f t="shared" si="1"/>
        <v>0.05</v>
      </c>
      <c r="K9" s="54">
        <f t="shared" ref="K9" si="8">(G9/16)*J9</f>
        <v>2.0833333333333335E-4</v>
      </c>
      <c r="M9" s="36"/>
      <c r="N9" s="36"/>
      <c r="O9" s="35"/>
    </row>
    <row r="10" spans="2:15" x14ac:dyDescent="0.25">
      <c r="B10" s="53" t="s">
        <v>87</v>
      </c>
      <c r="C10" s="30">
        <v>0</v>
      </c>
      <c r="D10" s="31"/>
      <c r="E10" s="31">
        <v>1</v>
      </c>
      <c r="F10" s="32">
        <f t="shared" si="2"/>
        <v>6.25E-2</v>
      </c>
      <c r="G10" s="33">
        <f>IFERROR(VLOOKUP(B10,'MP Pan'!$A$6:$F$35,6,FALSE),0)</f>
        <v>4.5999999999999996</v>
      </c>
      <c r="H10" s="33">
        <f t="shared" si="3"/>
        <v>0.28749999999999998</v>
      </c>
      <c r="I10" s="32">
        <f t="shared" si="0"/>
        <v>9.5374344301382939E-3</v>
      </c>
      <c r="J10" s="34">
        <f t="shared" si="1"/>
        <v>0.05</v>
      </c>
      <c r="K10" s="54">
        <f t="shared" si="4"/>
        <v>1.4374999999999999E-2</v>
      </c>
      <c r="M10" s="95"/>
      <c r="N10" s="95"/>
      <c r="O10" s="35"/>
    </row>
    <row r="11" spans="2:15" x14ac:dyDescent="0.25">
      <c r="B11" s="53" t="s">
        <v>10</v>
      </c>
      <c r="C11" s="30">
        <f t="shared" si="5"/>
        <v>3.125E-2</v>
      </c>
      <c r="D11" s="31"/>
      <c r="E11" s="31">
        <v>0.5</v>
      </c>
      <c r="F11" s="32">
        <f t="shared" si="2"/>
        <v>3.125E-2</v>
      </c>
      <c r="G11" s="33">
        <f>IFERROR(VLOOKUP(B11,'MP Pan'!$A$6:$F$35,6,FALSE),0)</f>
        <v>1.5</v>
      </c>
      <c r="H11" s="33">
        <f t="shared" si="3"/>
        <v>4.6875E-2</v>
      </c>
      <c r="I11" s="32">
        <f t="shared" si="0"/>
        <v>4.768717215069147E-3</v>
      </c>
      <c r="J11" s="34">
        <f t="shared" si="1"/>
        <v>2.5000000000000001E-2</v>
      </c>
      <c r="K11" s="54">
        <f t="shared" si="4"/>
        <v>2.3437500000000003E-3</v>
      </c>
      <c r="M11" s="95"/>
      <c r="N11" s="95"/>
      <c r="O11" s="35"/>
    </row>
    <row r="12" spans="2:15" x14ac:dyDescent="0.25">
      <c r="B12" s="53" t="s">
        <v>124</v>
      </c>
      <c r="C12" s="30">
        <f>IFERROR(($C$4*F12)/$D$4,"")</f>
        <v>0.33437499999999998</v>
      </c>
      <c r="D12" s="31"/>
      <c r="E12" s="31">
        <v>5.35</v>
      </c>
      <c r="F12" s="32">
        <f t="shared" si="2"/>
        <v>0.33437499999999998</v>
      </c>
      <c r="G12" s="33">
        <f>IFERROR(VLOOKUP(B12,'MP Pan'!$A$6:$F$35,6,FALSE),0)</f>
        <v>48</v>
      </c>
      <c r="H12" s="33">
        <f t="shared" si="3"/>
        <v>16.049999999999997</v>
      </c>
      <c r="I12" s="32">
        <f t="shared" si="0"/>
        <v>5.1025274201239867E-2</v>
      </c>
      <c r="J12" s="34">
        <f t="shared" si="1"/>
        <v>0.26750000000000002</v>
      </c>
      <c r="K12" s="54">
        <f t="shared" si="4"/>
        <v>0.80249999999999999</v>
      </c>
      <c r="M12" s="36"/>
      <c r="N12" s="36"/>
      <c r="O12" s="35"/>
    </row>
    <row r="13" spans="2:15" x14ac:dyDescent="0.25">
      <c r="B13" s="53" t="s">
        <v>65</v>
      </c>
      <c r="C13" s="30">
        <f t="shared" si="5"/>
        <v>0.5625</v>
      </c>
      <c r="D13" s="31"/>
      <c r="E13" s="31">
        <v>9</v>
      </c>
      <c r="F13" s="32">
        <f t="shared" si="2"/>
        <v>0.5625</v>
      </c>
      <c r="G13" s="33">
        <f>IFERROR(VLOOKUP(B13,'MP Pan'!$A$6:$F$35,6,FALSE),0)</f>
        <v>0.5</v>
      </c>
      <c r="H13" s="33">
        <f t="shared" si="3"/>
        <v>0.28125</v>
      </c>
      <c r="I13" s="32">
        <f t="shared" si="0"/>
        <v>8.5836909871244635E-2</v>
      </c>
      <c r="J13" s="34">
        <f t="shared" si="1"/>
        <v>0.44999999999999996</v>
      </c>
      <c r="K13" s="89">
        <f t="shared" si="4"/>
        <v>1.4062499999999999E-2</v>
      </c>
      <c r="M13" s="36"/>
      <c r="N13" s="36"/>
      <c r="O13" s="35"/>
    </row>
    <row r="14" spans="2:15" ht="15.75" thickBot="1" x14ac:dyDescent="0.3">
      <c r="B14" s="68" t="s">
        <v>103</v>
      </c>
      <c r="C14" s="69">
        <f t="shared" si="5"/>
        <v>0.875</v>
      </c>
      <c r="D14" s="70"/>
      <c r="E14" s="70">
        <v>14</v>
      </c>
      <c r="F14" s="71">
        <f>IFERROR(D14+E14/16," ")</f>
        <v>0.875</v>
      </c>
      <c r="G14" s="72">
        <f>IFERROR(VLOOKUP(B14,'MP Pan'!$A$6:$F$35,6,FALSE),0)</f>
        <v>7.2727272727272725</v>
      </c>
      <c r="H14" s="72">
        <f t="shared" si="3"/>
        <v>6.3636363636363633</v>
      </c>
      <c r="I14" s="71">
        <f t="shared" si="0"/>
        <v>0.13352408202193611</v>
      </c>
      <c r="J14" s="73">
        <f t="shared" si="1"/>
        <v>0.7</v>
      </c>
      <c r="K14" s="74">
        <f t="shared" si="4"/>
        <v>0.31818181818181818</v>
      </c>
      <c r="M14" s="36"/>
      <c r="N14" s="36"/>
      <c r="O14" s="35"/>
    </row>
    <row r="15" spans="2:15" ht="15.75" thickBot="1" x14ac:dyDescent="0.3">
      <c r="B15" s="96" t="s">
        <v>13</v>
      </c>
      <c r="C15" s="97"/>
      <c r="D15" s="75">
        <f t="shared" ref="D15:I15" si="9">SUM(D4:D14)</f>
        <v>3</v>
      </c>
      <c r="E15" s="75">
        <f t="shared" si="9"/>
        <v>56.85</v>
      </c>
      <c r="F15" s="75">
        <f t="shared" si="9"/>
        <v>6.5531249999999996</v>
      </c>
      <c r="G15" s="76">
        <f t="shared" si="9"/>
        <v>84.414393939393932</v>
      </c>
      <c r="H15" s="76">
        <f t="shared" si="9"/>
        <v>41.117803030303023</v>
      </c>
      <c r="I15" s="75">
        <f t="shared" si="9"/>
        <v>1</v>
      </c>
      <c r="J15" s="77">
        <f t="shared" si="1"/>
        <v>5.2424999999999997</v>
      </c>
      <c r="K15" s="78">
        <f>SUM(K4:K14)</f>
        <v>2.0558901515151518</v>
      </c>
      <c r="M15" s="95"/>
      <c r="N15" s="95"/>
      <c r="O15" s="35"/>
    </row>
    <row r="16" spans="2:15" ht="15.75" thickBot="1" x14ac:dyDescent="0.3">
      <c r="F16" s="37"/>
      <c r="G16" s="37"/>
      <c r="H16" s="37"/>
      <c r="I16" s="37"/>
      <c r="K16" s="35">
        <f>K15*1.36</f>
        <v>2.7960106060606065</v>
      </c>
    </row>
    <row r="17" spans="3:10" ht="36" x14ac:dyDescent="0.25">
      <c r="C17" s="38" t="s">
        <v>53</v>
      </c>
      <c r="D17" s="29">
        <v>20</v>
      </c>
      <c r="E17" s="27" t="str">
        <f>_xlfn.CONCAT("Pan ",B2,)</f>
        <v>Pan Empanadas Flo y Marce</v>
      </c>
      <c r="F17" s="25"/>
      <c r="G17" s="52" t="s">
        <v>56</v>
      </c>
      <c r="H17" s="49">
        <v>20</v>
      </c>
      <c r="I17" s="35"/>
    </row>
    <row r="18" spans="3:10" ht="15.75" thickBot="1" x14ac:dyDescent="0.3">
      <c r="C18" s="39" t="s">
        <v>54</v>
      </c>
      <c r="D18" s="40">
        <v>5</v>
      </c>
      <c r="E18" s="35"/>
      <c r="F18" s="25"/>
      <c r="G18" s="46" t="s">
        <v>57</v>
      </c>
      <c r="H18" s="47">
        <f>H17*D18</f>
        <v>100</v>
      </c>
      <c r="I18" s="35"/>
    </row>
    <row r="19" spans="3:10" ht="15.75" thickBot="1" x14ac:dyDescent="0.3"/>
    <row r="20" spans="3:10" x14ac:dyDescent="0.25">
      <c r="C20" s="48" t="s">
        <v>67</v>
      </c>
      <c r="D20" s="49">
        <f>F15*16</f>
        <v>104.85</v>
      </c>
    </row>
    <row r="21" spans="3:10" ht="15.75" thickBot="1" x14ac:dyDescent="0.3">
      <c r="C21" s="50" t="s">
        <v>68</v>
      </c>
      <c r="D21" s="51">
        <f>D20/D17</f>
        <v>5.2424999999999997</v>
      </c>
    </row>
    <row r="22" spans="3:10" ht="15.75" thickBot="1" x14ac:dyDescent="0.3">
      <c r="J22" s="35"/>
    </row>
    <row r="23" spans="3:10" x14ac:dyDescent="0.25">
      <c r="C23" s="41" t="s">
        <v>71</v>
      </c>
      <c r="D23" s="42"/>
      <c r="E23" s="43">
        <f>H15*1.36</f>
        <v>55.920212121212117</v>
      </c>
    </row>
    <row r="24" spans="3:10" x14ac:dyDescent="0.25">
      <c r="C24" s="44" t="s">
        <v>70</v>
      </c>
      <c r="D24" s="39"/>
      <c r="E24" s="45">
        <f>D18*D17</f>
        <v>100</v>
      </c>
    </row>
    <row r="25" spans="3:10" x14ac:dyDescent="0.25">
      <c r="C25" s="44" t="s">
        <v>66</v>
      </c>
      <c r="D25" s="39"/>
      <c r="E25" s="45">
        <f>E24-E23</f>
        <v>44.079787878787883</v>
      </c>
    </row>
    <row r="26" spans="3:10" ht="15.75" thickBot="1" x14ac:dyDescent="0.3">
      <c r="C26" s="90" t="s">
        <v>72</v>
      </c>
      <c r="D26" s="91"/>
      <c r="E26" s="79">
        <f>E25/E23</f>
        <v>0.78826217223999362</v>
      </c>
      <c r="G26" s="35"/>
    </row>
  </sheetData>
  <mergeCells count="7">
    <mergeCell ref="C26:D26"/>
    <mergeCell ref="B2:K2"/>
    <mergeCell ref="M8:N8"/>
    <mergeCell ref="M10:N10"/>
    <mergeCell ref="M11:N11"/>
    <mergeCell ref="B15:C15"/>
    <mergeCell ref="M15:N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27FD-6B5E-4D55-8962-987FEFE69B24}">
  <sheetPr codeName="Sheet8"/>
  <dimension ref="B1:O25"/>
  <sheetViews>
    <sheetView workbookViewId="0">
      <selection activeCell="F4" sqref="F4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115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116</v>
      </c>
      <c r="C4" s="56">
        <v>1</v>
      </c>
      <c r="D4" s="57">
        <v>1</v>
      </c>
      <c r="E4" s="57"/>
      <c r="F4" s="58">
        <f>IFERROR(D4+E4/16,"")</f>
        <v>1</v>
      </c>
      <c r="G4" s="59">
        <f>IFERROR(VLOOKUP(B4,'MP Pan'!$A$6:$F$35,6,FALSE),0)</f>
        <v>7.5</v>
      </c>
      <c r="H4" s="59">
        <f>F4*G4</f>
        <v>7.5</v>
      </c>
      <c r="I4" s="58">
        <f>F4/$F$14</f>
        <v>0.29629629629629628</v>
      </c>
      <c r="J4" s="60">
        <f>$D$20*I4</f>
        <v>0.8</v>
      </c>
      <c r="K4" s="61">
        <f>(G4/16)*J4</f>
        <v>0.375</v>
      </c>
      <c r="L4" s="35"/>
    </row>
    <row r="5" spans="2:15" x14ac:dyDescent="0.25">
      <c r="B5" s="53" t="s">
        <v>118</v>
      </c>
      <c r="C5" s="30">
        <f>IFERROR(($C$4*F5)/$D$4,"")</f>
        <v>0.3125</v>
      </c>
      <c r="D5" s="31"/>
      <c r="E5" s="31">
        <v>5</v>
      </c>
      <c r="F5" s="32">
        <f t="shared" ref="F5:F12" si="0">IFERROR(D5+E5/16,"")</f>
        <v>0.3125</v>
      </c>
      <c r="G5" s="33">
        <f>IFERROR(VLOOKUP(B5,'MP Pan'!$A$6:$F$35,6,FALSE),0)</f>
        <v>7.2727272727272725</v>
      </c>
      <c r="H5" s="33">
        <f t="shared" ref="H5:H13" si="1">F5*G5</f>
        <v>2.2727272727272725</v>
      </c>
      <c r="I5" s="32">
        <f t="shared" ref="I5:I13" si="2">F5/$F$14</f>
        <v>9.2592592592592587E-2</v>
      </c>
      <c r="J5" s="34">
        <f t="shared" ref="J5:J13" si="3">$D$20*I5</f>
        <v>0.25</v>
      </c>
      <c r="K5" s="54">
        <f t="shared" ref="K5:K13" si="4">(G5/16)*J5</f>
        <v>0.11363636363636363</v>
      </c>
      <c r="L5" s="35"/>
      <c r="N5" s="35"/>
      <c r="O5" s="35"/>
    </row>
    <row r="6" spans="2:15" x14ac:dyDescent="0.25">
      <c r="B6" s="53" t="s">
        <v>121</v>
      </c>
      <c r="C6" s="30">
        <f t="shared" ref="C6:C13" si="5">IFERROR(($C$4*F6)/$D$4,"")</f>
        <v>0.3125</v>
      </c>
      <c r="D6" s="31"/>
      <c r="E6" s="31">
        <v>5</v>
      </c>
      <c r="F6" s="32">
        <f t="shared" si="0"/>
        <v>0.3125</v>
      </c>
      <c r="G6" s="33">
        <f>IFERROR(VLOOKUP(B6,'MP Pan'!$A$6:$F$35,6,FALSE),0)</f>
        <v>5.6818181818181817</v>
      </c>
      <c r="H6" s="33">
        <f t="shared" si="1"/>
        <v>1.7755681818181817</v>
      </c>
      <c r="I6" s="32">
        <f t="shared" si="2"/>
        <v>9.2592592592592587E-2</v>
      </c>
      <c r="J6" s="34">
        <f t="shared" si="3"/>
        <v>0.25</v>
      </c>
      <c r="K6" s="54">
        <f t="shared" si="4"/>
        <v>8.8778409090909088E-2</v>
      </c>
      <c r="L6" s="35"/>
      <c r="O6" s="35"/>
    </row>
    <row r="7" spans="2:15" x14ac:dyDescent="0.25">
      <c r="B7" s="53" t="s">
        <v>122</v>
      </c>
      <c r="C7" s="30">
        <f t="shared" si="5"/>
        <v>0.5</v>
      </c>
      <c r="D7" s="31"/>
      <c r="E7" s="31">
        <v>8</v>
      </c>
      <c r="F7" s="32">
        <f t="shared" si="0"/>
        <v>0.5</v>
      </c>
      <c r="G7" s="33">
        <f>IFERROR(VLOOKUP(B7,'MP Pan'!$A$6:$F$35,6,FALSE),0)</f>
        <v>10</v>
      </c>
      <c r="H7" s="33">
        <f t="shared" si="1"/>
        <v>5</v>
      </c>
      <c r="I7" s="32">
        <f t="shared" si="2"/>
        <v>0.14814814814814814</v>
      </c>
      <c r="J7" s="34">
        <f t="shared" si="3"/>
        <v>0.4</v>
      </c>
      <c r="K7" s="54">
        <f t="shared" si="4"/>
        <v>0.25</v>
      </c>
      <c r="N7" s="35"/>
      <c r="O7" s="35"/>
    </row>
    <row r="8" spans="2:15" x14ac:dyDescent="0.25">
      <c r="B8" s="53" t="s">
        <v>12</v>
      </c>
      <c r="C8" s="30">
        <f t="shared" si="5"/>
        <v>0.25</v>
      </c>
      <c r="D8" s="31"/>
      <c r="E8" s="31">
        <v>4</v>
      </c>
      <c r="F8" s="32">
        <f t="shared" si="0"/>
        <v>0.25</v>
      </c>
      <c r="G8" s="33">
        <f>IFERROR(VLOOKUP(B8,'MP Pan'!$A$6:$F$35,6,FALSE),0)</f>
        <v>0.5</v>
      </c>
      <c r="H8" s="33">
        <f t="shared" si="1"/>
        <v>0.125</v>
      </c>
      <c r="I8" s="32">
        <f t="shared" si="2"/>
        <v>7.407407407407407E-2</v>
      </c>
      <c r="J8" s="34">
        <f t="shared" si="3"/>
        <v>0.2</v>
      </c>
      <c r="K8" s="54">
        <f t="shared" si="4"/>
        <v>6.2500000000000003E-3</v>
      </c>
      <c r="M8" s="95"/>
      <c r="N8" s="95"/>
      <c r="O8" s="35"/>
    </row>
    <row r="9" spans="2:15" x14ac:dyDescent="0.25">
      <c r="B9" s="53" t="s">
        <v>83</v>
      </c>
      <c r="C9" s="30">
        <v>0</v>
      </c>
      <c r="D9" s="31">
        <v>1</v>
      </c>
      <c r="E9" s="31"/>
      <c r="F9" s="32">
        <f t="shared" si="0"/>
        <v>1</v>
      </c>
      <c r="G9" s="33">
        <f>IFERROR(VLOOKUP(B9,'MP Pan'!$A$6:$F$35,6,FALSE),0)</f>
        <v>1.5</v>
      </c>
      <c r="H9" s="33">
        <f t="shared" si="1"/>
        <v>1.5</v>
      </c>
      <c r="I9" s="32">
        <f t="shared" si="2"/>
        <v>0.29629629629629628</v>
      </c>
      <c r="J9" s="34">
        <f t="shared" si="3"/>
        <v>0.8</v>
      </c>
      <c r="K9" s="54">
        <f t="shared" si="4"/>
        <v>7.5000000000000011E-2</v>
      </c>
      <c r="M9" s="95"/>
      <c r="N9" s="95"/>
      <c r="O9" s="35"/>
    </row>
    <row r="10" spans="2:15" x14ac:dyDescent="0.25">
      <c r="B10" s="53"/>
      <c r="C10" s="30">
        <f t="shared" si="5"/>
        <v>0</v>
      </c>
      <c r="D10" s="31"/>
      <c r="E10" s="31"/>
      <c r="F10" s="32">
        <f t="shared" si="0"/>
        <v>0</v>
      </c>
      <c r="G10" s="33">
        <f>IFERROR(VLOOKUP(B10,'MP Pan'!$A$6:$F$35,6,FALSE),0)</f>
        <v>0</v>
      </c>
      <c r="H10" s="33">
        <f t="shared" si="1"/>
        <v>0</v>
      </c>
      <c r="I10" s="32">
        <f t="shared" si="2"/>
        <v>0</v>
      </c>
      <c r="J10" s="34">
        <f t="shared" si="3"/>
        <v>0</v>
      </c>
      <c r="K10" s="54">
        <f t="shared" si="4"/>
        <v>0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2</v>
      </c>
      <c r="E14" s="75">
        <f t="shared" si="6"/>
        <v>22</v>
      </c>
      <c r="F14" s="75">
        <f t="shared" si="6"/>
        <v>3.375</v>
      </c>
      <c r="G14" s="76">
        <f t="shared" si="6"/>
        <v>32.454545454545453</v>
      </c>
      <c r="H14" s="76">
        <f t="shared" si="6"/>
        <v>18.173295454545453</v>
      </c>
      <c r="I14" s="75">
        <f t="shared" si="6"/>
        <v>0.99999999999999989</v>
      </c>
      <c r="J14" s="77">
        <f>$D$20*I14</f>
        <v>2.6999999999999997</v>
      </c>
      <c r="K14" s="78">
        <f>SUM(K4:K13)</f>
        <v>0.90866477272727275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20</v>
      </c>
      <c r="E16" s="27" t="str">
        <f>_xlfn.CONCAT("Pan ",B2,)</f>
        <v>Pan Empanadas Flo y Marce</v>
      </c>
      <c r="F16" s="25"/>
      <c r="G16" s="52" t="s">
        <v>56</v>
      </c>
      <c r="H16" s="49">
        <v>20</v>
      </c>
      <c r="I16" s="35"/>
    </row>
    <row r="17" spans="3:10" ht="15.75" thickBot="1" x14ac:dyDescent="0.3">
      <c r="C17" s="39" t="s">
        <v>54</v>
      </c>
      <c r="D17" s="40">
        <v>3</v>
      </c>
      <c r="E17" s="35"/>
      <c r="F17" s="25"/>
      <c r="G17" s="46" t="s">
        <v>57</v>
      </c>
      <c r="H17" s="47">
        <f>H16*D17</f>
        <v>60</v>
      </c>
      <c r="I17" s="35"/>
    </row>
    <row r="18" spans="3:10" ht="15.75" thickBot="1" x14ac:dyDescent="0.3"/>
    <row r="19" spans="3:10" x14ac:dyDescent="0.25">
      <c r="C19" s="48" t="s">
        <v>67</v>
      </c>
      <c r="D19" s="49">
        <f>F14*16</f>
        <v>54</v>
      </c>
    </row>
    <row r="20" spans="3:10" ht="15.75" thickBot="1" x14ac:dyDescent="0.3">
      <c r="C20" s="50" t="s">
        <v>68</v>
      </c>
      <c r="D20" s="51">
        <f>D19/D16</f>
        <v>2.7</v>
      </c>
    </row>
    <row r="21" spans="3:10" ht="15.75" thickBot="1" x14ac:dyDescent="0.3">
      <c r="J21" s="35"/>
    </row>
    <row r="22" spans="3:10" x14ac:dyDescent="0.25">
      <c r="C22" s="41" t="s">
        <v>71</v>
      </c>
      <c r="D22" s="42"/>
      <c r="E22" s="43">
        <f>H14*1.36</f>
        <v>24.715681818181817</v>
      </c>
    </row>
    <row r="23" spans="3:10" x14ac:dyDescent="0.25">
      <c r="C23" s="44" t="s">
        <v>70</v>
      </c>
      <c r="D23" s="39"/>
      <c r="E23" s="45">
        <f>D17*D16</f>
        <v>60</v>
      </c>
    </row>
    <row r="24" spans="3:10" x14ac:dyDescent="0.25">
      <c r="C24" s="44" t="s">
        <v>66</v>
      </c>
      <c r="D24" s="39"/>
      <c r="E24" s="45">
        <f>E23-E22</f>
        <v>35.284318181818179</v>
      </c>
    </row>
    <row r="25" spans="3:10" ht="15.75" thickBot="1" x14ac:dyDescent="0.3">
      <c r="C25" s="90" t="s">
        <v>72</v>
      </c>
      <c r="D25" s="91"/>
      <c r="E25" s="79">
        <f>E24/E22</f>
        <v>1.4276085297336067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8EE6-8D16-4396-B2F0-A1E0D50316A1}">
  <sheetPr codeName="Sheet9"/>
  <dimension ref="B1:O25"/>
  <sheetViews>
    <sheetView topLeftCell="A13" zoomScale="120" zoomScaleNormal="120" workbookViewId="0">
      <selection activeCell="E22" sqref="E22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114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tr">
        <f>_xlfn.CONCAT("Formula para una unidad de (",J14,"Onza)")</f>
        <v>Formula para una unidad de (2.58333333333333Onza)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5</v>
      </c>
      <c r="E4" s="57"/>
      <c r="F4" s="58">
        <f>IFERROR(D4+E4/16,"")</f>
        <v>5</v>
      </c>
      <c r="G4" s="59">
        <f>IFERROR(VLOOKUP(B4,'MP Pan'!$A$6:$F$35,6,FALSE),0)</f>
        <v>2.85</v>
      </c>
      <c r="H4" s="59">
        <f>F4*G4</f>
        <v>14.25</v>
      </c>
      <c r="I4" s="58">
        <f>F4/$F$14</f>
        <v>0.5161290322580645</v>
      </c>
      <c r="J4" s="60">
        <f>$D$20*I4</f>
        <v>1.3333333333333335</v>
      </c>
      <c r="K4" s="61">
        <f>(G4/16)*J4</f>
        <v>0.23750000000000004</v>
      </c>
      <c r="L4" s="35"/>
    </row>
    <row r="5" spans="2:15" x14ac:dyDescent="0.25">
      <c r="B5" s="53" t="s">
        <v>8</v>
      </c>
      <c r="C5" s="30">
        <f>IFERROR(($C$4*F5)/$D$4,"")</f>
        <v>3.7499999999999999E-2</v>
      </c>
      <c r="D5" s="31"/>
      <c r="E5" s="31">
        <v>3</v>
      </c>
      <c r="F5" s="32">
        <f t="shared" ref="F5:F12" si="0">IFERROR(D5+E5/16,"")</f>
        <v>0.1875</v>
      </c>
      <c r="G5" s="33">
        <f>IFERROR(VLOOKUP(B5,'MP Pan'!$A$6:$F$35,6,FALSE),0)</f>
        <v>11.5</v>
      </c>
      <c r="H5" s="33">
        <f t="shared" ref="H5:H13" si="1">F5*G5</f>
        <v>2.15625</v>
      </c>
      <c r="I5" s="32">
        <f t="shared" ref="I5:I13" si="2">F5/$F$14</f>
        <v>1.935483870967742E-2</v>
      </c>
      <c r="J5" s="34">
        <f t="shared" ref="J5:J13" si="3">$D$20*I5</f>
        <v>0.05</v>
      </c>
      <c r="K5" s="54">
        <f t="shared" ref="K5:K13" si="4">(G5/16)*J5</f>
        <v>3.5937500000000004E-2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1.2500000000000001E-2</v>
      </c>
      <c r="D6" s="31"/>
      <c r="E6" s="31">
        <v>1</v>
      </c>
      <c r="F6" s="32">
        <f t="shared" si="0"/>
        <v>6.25E-2</v>
      </c>
      <c r="G6" s="33">
        <f>IFERROR(VLOOKUP(B6,'MP Pan'!$A$6:$F$35,6,FALSE),0)</f>
        <v>1.5</v>
      </c>
      <c r="H6" s="33">
        <f t="shared" si="1"/>
        <v>9.375E-2</v>
      </c>
      <c r="I6" s="32">
        <f t="shared" si="2"/>
        <v>6.4516129032258064E-3</v>
      </c>
      <c r="J6" s="34">
        <f t="shared" si="3"/>
        <v>1.6666666666666666E-2</v>
      </c>
      <c r="K6" s="54">
        <f t="shared" si="4"/>
        <v>1.5625000000000001E-3</v>
      </c>
      <c r="L6" s="35"/>
      <c r="O6" s="35"/>
    </row>
    <row r="7" spans="2:15" x14ac:dyDescent="0.25">
      <c r="B7" s="53" t="s">
        <v>7</v>
      </c>
      <c r="C7" s="30">
        <f t="shared" si="5"/>
        <v>3.7499999999999999E-2</v>
      </c>
      <c r="D7" s="31"/>
      <c r="E7" s="31">
        <v>3</v>
      </c>
      <c r="F7" s="32">
        <f t="shared" si="0"/>
        <v>0.1875</v>
      </c>
      <c r="G7" s="33">
        <f>IFERROR(VLOOKUP(B7,'MP Pan'!$A$6:$F$35,6,FALSE),0)</f>
        <v>4.5</v>
      </c>
      <c r="H7" s="33">
        <f t="shared" si="1"/>
        <v>0.84375</v>
      </c>
      <c r="I7" s="32">
        <f t="shared" si="2"/>
        <v>1.935483870967742E-2</v>
      </c>
      <c r="J7" s="34">
        <f t="shared" si="3"/>
        <v>0.05</v>
      </c>
      <c r="K7" s="54">
        <f t="shared" si="4"/>
        <v>1.40625E-2</v>
      </c>
      <c r="N7" s="35"/>
      <c r="O7" s="35"/>
    </row>
    <row r="8" spans="2:15" x14ac:dyDescent="0.25">
      <c r="B8" s="53" t="s">
        <v>11</v>
      </c>
      <c r="C8" s="30">
        <f t="shared" si="5"/>
        <v>0.05</v>
      </c>
      <c r="D8" s="31"/>
      <c r="E8" s="31">
        <v>4</v>
      </c>
      <c r="F8" s="32">
        <f t="shared" si="0"/>
        <v>0.25</v>
      </c>
      <c r="G8" s="33">
        <f>IFERROR(VLOOKUP(B8,'MP Pan'!$A$6:$F$35,6,FALSE),0)</f>
        <v>7.666666666666667</v>
      </c>
      <c r="H8" s="33">
        <f t="shared" si="1"/>
        <v>1.9166666666666667</v>
      </c>
      <c r="I8" s="32">
        <f t="shared" si="2"/>
        <v>2.5806451612903226E-2</v>
      </c>
      <c r="J8" s="34">
        <f t="shared" si="3"/>
        <v>6.6666666666666666E-2</v>
      </c>
      <c r="K8" s="54">
        <f t="shared" si="4"/>
        <v>3.1944444444444442E-2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0.8</v>
      </c>
      <c r="D9" s="31">
        <v>4</v>
      </c>
      <c r="E9" s="31"/>
      <c r="F9" s="32">
        <f t="shared" si="0"/>
        <v>4</v>
      </c>
      <c r="G9" s="33">
        <f>IFERROR(VLOOKUP(B9,'MP Pan'!$A$6:$F$35,6,FALSE),0)</f>
        <v>0.5</v>
      </c>
      <c r="H9" s="33">
        <f t="shared" si="1"/>
        <v>2</v>
      </c>
      <c r="I9" s="32">
        <f t="shared" si="2"/>
        <v>0.41290322580645161</v>
      </c>
      <c r="J9" s="34">
        <f t="shared" si="3"/>
        <v>1.0666666666666667</v>
      </c>
      <c r="K9" s="54">
        <f t="shared" si="4"/>
        <v>3.3333333333333333E-2</v>
      </c>
      <c r="M9" s="95"/>
      <c r="N9" s="95"/>
      <c r="O9" s="35"/>
    </row>
    <row r="10" spans="2:15" x14ac:dyDescent="0.25">
      <c r="B10" s="53"/>
      <c r="C10" s="30">
        <f t="shared" si="5"/>
        <v>0</v>
      </c>
      <c r="D10" s="31"/>
      <c r="E10" s="31"/>
      <c r="F10" s="32">
        <f t="shared" si="0"/>
        <v>0</v>
      </c>
      <c r="G10" s="33">
        <f>IFERROR(VLOOKUP(B10,'MP Pan'!$A$6:$F$35,6,FALSE),0)</f>
        <v>0</v>
      </c>
      <c r="H10" s="33">
        <f t="shared" si="1"/>
        <v>0</v>
      </c>
      <c r="I10" s="32">
        <f t="shared" si="2"/>
        <v>0</v>
      </c>
      <c r="J10" s="34">
        <f t="shared" si="3"/>
        <v>0</v>
      </c>
      <c r="K10" s="54">
        <f t="shared" si="4"/>
        <v>0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9</v>
      </c>
      <c r="E14" s="75">
        <f t="shared" si="6"/>
        <v>11</v>
      </c>
      <c r="F14" s="75">
        <f t="shared" si="6"/>
        <v>9.6875</v>
      </c>
      <c r="G14" s="76">
        <f t="shared" si="6"/>
        <v>28.516666666666669</v>
      </c>
      <c r="H14" s="76">
        <f t="shared" si="6"/>
        <v>21.260416666666668</v>
      </c>
      <c r="I14" s="75">
        <f t="shared" si="6"/>
        <v>1</v>
      </c>
      <c r="J14" s="77">
        <f>$D$20*I14</f>
        <v>2.5833333333333335</v>
      </c>
      <c r="K14" s="78">
        <f>SUM(K4:K13)</f>
        <v>0.35434027777777782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v>60</v>
      </c>
      <c r="E16" s="27" t="str">
        <f>_xlfn.CONCAT("Pan ",B2,)</f>
        <v>Pan SHUCOS</v>
      </c>
      <c r="F16" s="25"/>
      <c r="G16" s="52" t="s">
        <v>56</v>
      </c>
      <c r="H16" s="49">
        <f>D16*30</f>
        <v>1800</v>
      </c>
      <c r="I16" s="35"/>
    </row>
    <row r="17" spans="3:9" ht="15.75" thickBot="1" x14ac:dyDescent="0.3">
      <c r="C17" s="39" t="s">
        <v>54</v>
      </c>
      <c r="D17" s="40">
        <v>1.25</v>
      </c>
      <c r="E17" s="35"/>
      <c r="F17" s="25"/>
      <c r="G17" s="46" t="s">
        <v>57</v>
      </c>
      <c r="H17" s="47">
        <f>H16*D17</f>
        <v>2250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155</v>
      </c>
    </row>
    <row r="20" spans="3:9" ht="15.75" thickBot="1" x14ac:dyDescent="0.3">
      <c r="C20" s="50" t="s">
        <v>68</v>
      </c>
      <c r="D20" s="51">
        <f>D19/D16</f>
        <v>2.5833333333333335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28.91416666666667</v>
      </c>
    </row>
    <row r="23" spans="3:9" x14ac:dyDescent="0.25">
      <c r="C23" s="44" t="s">
        <v>70</v>
      </c>
      <c r="D23" s="39"/>
      <c r="E23" s="45">
        <f>D17*D16</f>
        <v>75</v>
      </c>
    </row>
    <row r="24" spans="3:9" x14ac:dyDescent="0.25">
      <c r="C24" s="44" t="s">
        <v>66</v>
      </c>
      <c r="D24" s="39"/>
      <c r="E24" s="45">
        <f>E23-E22</f>
        <v>46.085833333333326</v>
      </c>
    </row>
    <row r="25" spans="3:9" ht="15.75" thickBot="1" x14ac:dyDescent="0.3">
      <c r="C25" s="90" t="s">
        <v>72</v>
      </c>
      <c r="D25" s="91"/>
      <c r="E25" s="79">
        <f>E24/E22</f>
        <v>1.5938841974810498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1735-7B9B-431F-B77B-EB923A8F5A9E}">
  <sheetPr codeName="Sheet10"/>
  <dimension ref="A2:M56"/>
  <sheetViews>
    <sheetView topLeftCell="A31" zoomScale="90" zoomScaleNormal="90" workbookViewId="0">
      <selection activeCell="L45" sqref="L45"/>
    </sheetView>
  </sheetViews>
  <sheetFormatPr defaultRowHeight="15" x14ac:dyDescent="0.25"/>
  <cols>
    <col min="1" max="1" width="11.42578125" bestFit="1" customWidth="1"/>
    <col min="2" max="2" width="11.85546875" customWidth="1"/>
    <col min="3" max="3" width="11.7109375" customWidth="1"/>
    <col min="4" max="4" width="13.42578125" customWidth="1"/>
    <col min="5" max="5" width="14.5703125" customWidth="1"/>
    <col min="6" max="6" width="17.42578125" customWidth="1"/>
    <col min="7" max="7" width="15.5703125" bestFit="1" customWidth="1"/>
    <col min="8" max="8" width="11.42578125" bestFit="1" customWidth="1"/>
    <col min="9" max="9" width="9" bestFit="1" customWidth="1"/>
    <col min="11" max="11" width="11.140625" bestFit="1" customWidth="1"/>
    <col min="13" max="13" width="11.42578125" bestFit="1" customWidth="1"/>
  </cols>
  <sheetData>
    <row r="2" spans="1:13" x14ac:dyDescent="0.25">
      <c r="A2" s="100" t="s">
        <v>52</v>
      </c>
      <c r="B2" s="100"/>
      <c r="C2" s="100"/>
      <c r="D2" s="100"/>
      <c r="E2" s="100"/>
      <c r="F2" s="100"/>
      <c r="G2" s="100"/>
    </row>
    <row r="3" spans="1:13" ht="42.95" customHeight="1" x14ac:dyDescent="0.25">
      <c r="A3" s="5" t="s">
        <v>0</v>
      </c>
      <c r="B3" s="8" t="s">
        <v>1</v>
      </c>
      <c r="C3" s="5" t="s">
        <v>2</v>
      </c>
      <c r="D3" s="9" t="s">
        <v>3</v>
      </c>
      <c r="E3" s="10" t="s">
        <v>4</v>
      </c>
      <c r="F3" s="9" t="s">
        <v>58</v>
      </c>
      <c r="G3" s="9" t="s">
        <v>5</v>
      </c>
      <c r="H3" s="2"/>
    </row>
    <row r="4" spans="1:13" x14ac:dyDescent="0.25">
      <c r="A4" s="12" t="s">
        <v>6</v>
      </c>
      <c r="B4" s="13">
        <v>1</v>
      </c>
      <c r="C4" s="12">
        <v>3</v>
      </c>
      <c r="D4" s="14">
        <f>VLOOKUP(A4,'MP Pan'!$A$6:$F$35,6,FALSE)</f>
        <v>2.85</v>
      </c>
      <c r="E4" s="11">
        <f>C4/$C$11</f>
        <v>0.34407615552242232</v>
      </c>
      <c r="F4" s="15">
        <f t="shared" ref="F4:F10" si="0">$E$14*E4</f>
        <v>0.24242424242424243</v>
      </c>
      <c r="G4" s="14">
        <f>(D4/16)*F4</f>
        <v>4.3181818181818182E-2</v>
      </c>
    </row>
    <row r="5" spans="1:13" x14ac:dyDescent="0.25">
      <c r="A5" s="12" t="s">
        <v>7</v>
      </c>
      <c r="B5" s="13">
        <f t="shared" ref="B5:B10" si="1">($B$4*C5)/$C$4</f>
        <v>0.5</v>
      </c>
      <c r="C5" s="12">
        <v>1.5</v>
      </c>
      <c r="D5" s="14">
        <f>VLOOKUP(A5,'MP Pan'!$A$6:$F$35,6,FALSE)</f>
        <v>4.5</v>
      </c>
      <c r="E5" s="11">
        <f t="shared" ref="E5:E10" si="2">C5/$C$11</f>
        <v>0.17203807776121116</v>
      </c>
      <c r="F5" s="15">
        <f t="shared" si="0"/>
        <v>0.12121212121212122</v>
      </c>
      <c r="G5" s="14">
        <f t="shared" ref="G5:G10" si="3">(D5/16)*F5</f>
        <v>3.4090909090909088E-2</v>
      </c>
    </row>
    <row r="6" spans="1:13" x14ac:dyDescent="0.25">
      <c r="A6" s="12" t="s">
        <v>59</v>
      </c>
      <c r="B6" s="13">
        <f t="shared" si="1"/>
        <v>1.0333333333333333E-2</v>
      </c>
      <c r="C6" s="12">
        <v>3.1E-2</v>
      </c>
      <c r="D6" s="14">
        <f>VLOOKUP(A6,'MP Pan'!$A$6:$F$35,6,FALSE)</f>
        <v>1.5</v>
      </c>
      <c r="E6" s="11">
        <f t="shared" si="2"/>
        <v>3.5554536070650307E-3</v>
      </c>
      <c r="F6" s="15">
        <f t="shared" si="0"/>
        <v>2.5050505050505049E-3</v>
      </c>
      <c r="G6" s="14">
        <f t="shared" si="3"/>
        <v>2.3484848484848483E-4</v>
      </c>
      <c r="I6" s="3"/>
    </row>
    <row r="7" spans="1:13" x14ac:dyDescent="0.25">
      <c r="A7" s="12" t="s">
        <v>9</v>
      </c>
      <c r="B7" s="13">
        <f t="shared" si="1"/>
        <v>0.5</v>
      </c>
      <c r="C7" s="15">
        <v>1.5</v>
      </c>
      <c r="D7" s="14">
        <f>VLOOKUP(A7,'MP Pan'!$A$6:$F$35,6,FALSE)</f>
        <v>4.5999999999999996</v>
      </c>
      <c r="E7" s="11">
        <f t="shared" si="2"/>
        <v>0.17203807776121116</v>
      </c>
      <c r="F7" s="15">
        <f t="shared" si="0"/>
        <v>0.12121212121212122</v>
      </c>
      <c r="G7" s="14">
        <f t="shared" si="3"/>
        <v>3.4848484848484844E-2</v>
      </c>
    </row>
    <row r="8" spans="1:13" x14ac:dyDescent="0.25">
      <c r="A8" s="12" t="s">
        <v>11</v>
      </c>
      <c r="B8" s="13">
        <f t="shared" si="1"/>
        <v>0.25</v>
      </c>
      <c r="C8" s="15">
        <v>0.75</v>
      </c>
      <c r="D8" s="14">
        <f>VLOOKUP(A8,'MP Pan'!$A$6:$F$35,6,FALSE)</f>
        <v>7.666666666666667</v>
      </c>
      <c r="E8" s="11">
        <f t="shared" si="2"/>
        <v>8.6019038880605581E-2</v>
      </c>
      <c r="F8" s="15">
        <f t="shared" si="0"/>
        <v>6.0606060606060608E-2</v>
      </c>
      <c r="G8" s="14">
        <f t="shared" si="3"/>
        <v>2.9040404040404044E-2</v>
      </c>
    </row>
    <row r="9" spans="1:13" x14ac:dyDescent="0.25">
      <c r="A9" s="12" t="s">
        <v>65</v>
      </c>
      <c r="B9" s="13">
        <f t="shared" si="1"/>
        <v>0.64600000000000002</v>
      </c>
      <c r="C9" s="12">
        <v>1.9379999999999999</v>
      </c>
      <c r="D9" s="14">
        <f>VLOOKUP(A9,'MP Pan'!$A$6:$F$35,6,FALSE)</f>
        <v>0.5</v>
      </c>
      <c r="E9" s="11">
        <f t="shared" si="2"/>
        <v>0.22227319646748481</v>
      </c>
      <c r="F9" s="15">
        <f t="shared" si="0"/>
        <v>0.15660606060606058</v>
      </c>
      <c r="G9" s="14">
        <f t="shared" si="3"/>
        <v>4.8939393939393932E-3</v>
      </c>
    </row>
    <row r="10" spans="1:13" x14ac:dyDescent="0.25">
      <c r="A10" s="12"/>
      <c r="B10" s="13">
        <f t="shared" si="1"/>
        <v>0</v>
      </c>
      <c r="C10" s="12"/>
      <c r="D10" s="14">
        <f>IFERROR(VLOOKUP(A10,'MP Pan'!$A$6:$F$35,6,FALSE),0)</f>
        <v>0</v>
      </c>
      <c r="E10" s="11">
        <f t="shared" si="2"/>
        <v>0</v>
      </c>
      <c r="F10" s="15">
        <f t="shared" si="0"/>
        <v>0</v>
      </c>
      <c r="G10" s="14">
        <f t="shared" si="3"/>
        <v>0</v>
      </c>
    </row>
    <row r="11" spans="1:13" x14ac:dyDescent="0.25">
      <c r="A11" s="101" t="s">
        <v>13</v>
      </c>
      <c r="B11" s="101"/>
      <c r="C11" s="15">
        <f>SUM(C4:C10)</f>
        <v>8.7189999999999994</v>
      </c>
      <c r="D11" s="14">
        <f>SUM(D4:D10)</f>
        <v>21.616666666666667</v>
      </c>
      <c r="E11" s="11">
        <f>SUM(E4:E10)</f>
        <v>1</v>
      </c>
      <c r="F11" s="15">
        <f>SUM(F4:F10)</f>
        <v>0.70456565656565662</v>
      </c>
      <c r="G11" s="18">
        <f>SUM(G4:G10)</f>
        <v>0.14629040404040403</v>
      </c>
    </row>
    <row r="12" spans="1:13" x14ac:dyDescent="0.25">
      <c r="E12" s="1"/>
      <c r="F12" s="1"/>
      <c r="G12" s="1"/>
      <c r="H12" s="1"/>
      <c r="I12" s="1"/>
      <c r="J12" s="1"/>
      <c r="K12" s="1"/>
      <c r="L12" s="1"/>
      <c r="M12" s="1"/>
    </row>
    <row r="13" spans="1:13" ht="30" customHeight="1" x14ac:dyDescent="0.25">
      <c r="B13" s="16" t="s">
        <v>53</v>
      </c>
      <c r="C13" s="12">
        <v>198</v>
      </c>
      <c r="D13" s="9" t="s">
        <v>55</v>
      </c>
      <c r="E13" s="24">
        <f>C11*16</f>
        <v>139.50399999999999</v>
      </c>
      <c r="F13" s="6" t="s">
        <v>56</v>
      </c>
      <c r="G13" s="6">
        <f>C13*30</f>
        <v>5940</v>
      </c>
    </row>
    <row r="14" spans="1:13" x14ac:dyDescent="0.25">
      <c r="B14" s="6" t="s">
        <v>54</v>
      </c>
      <c r="C14" s="7">
        <v>0.33</v>
      </c>
      <c r="D14" s="4">
        <f>C14*C13</f>
        <v>65.34</v>
      </c>
      <c r="E14" s="24">
        <f>E13/C13</f>
        <v>0.70456565656565651</v>
      </c>
      <c r="F14" s="6" t="s">
        <v>57</v>
      </c>
      <c r="G14" s="7">
        <f>G13*C14</f>
        <v>1960.2</v>
      </c>
    </row>
    <row r="16" spans="1:13" x14ac:dyDescent="0.25">
      <c r="A16" s="100" t="s">
        <v>62</v>
      </c>
      <c r="B16" s="100"/>
      <c r="C16" s="100"/>
      <c r="D16" s="100"/>
      <c r="E16" s="100"/>
      <c r="F16" s="100"/>
      <c r="G16" s="100"/>
    </row>
    <row r="17" spans="1:13" ht="45" x14ac:dyDescent="0.25">
      <c r="A17" s="5" t="s">
        <v>0</v>
      </c>
      <c r="B17" s="8" t="s">
        <v>1</v>
      </c>
      <c r="C17" s="8" t="s">
        <v>60</v>
      </c>
      <c r="D17" s="8" t="s">
        <v>61</v>
      </c>
      <c r="E17" s="5" t="s">
        <v>2</v>
      </c>
      <c r="F17" s="9" t="s">
        <v>3</v>
      </c>
      <c r="G17" s="10" t="s">
        <v>4</v>
      </c>
      <c r="H17" s="9" t="s">
        <v>58</v>
      </c>
      <c r="I17" s="9" t="s">
        <v>5</v>
      </c>
      <c r="J17" s="3"/>
    </row>
    <row r="18" spans="1:13" x14ac:dyDescent="0.25">
      <c r="A18" s="12" t="s">
        <v>6</v>
      </c>
      <c r="B18" s="13">
        <v>1</v>
      </c>
      <c r="C18" s="17">
        <v>3</v>
      </c>
      <c r="D18" s="17"/>
      <c r="E18" s="11">
        <f>IFERROR(C18+D18/16,"")</f>
        <v>3</v>
      </c>
      <c r="F18" s="14">
        <f>IFERROR(VLOOKUP(A18,'MP Pan'!$A$6:$F$35,6,FALSE),0)</f>
        <v>2.85</v>
      </c>
      <c r="G18" s="11">
        <f>E18/$E$25</f>
        <v>0.34408602150537637</v>
      </c>
      <c r="H18" s="15">
        <f>$E$28*G18</f>
        <v>0.24242424242424246</v>
      </c>
      <c r="I18" s="14">
        <f>(F18/16)*H18</f>
        <v>4.3181818181818189E-2</v>
      </c>
      <c r="J18" s="4"/>
    </row>
    <row r="19" spans="1:13" x14ac:dyDescent="0.25">
      <c r="A19" s="12" t="s">
        <v>7</v>
      </c>
      <c r="B19" s="13">
        <f t="shared" ref="B19:B24" si="4">($B$4*E19)/$C$4</f>
        <v>0.5</v>
      </c>
      <c r="C19" s="17">
        <v>1</v>
      </c>
      <c r="D19" s="17">
        <v>8</v>
      </c>
      <c r="E19" s="11">
        <f t="shared" ref="E19:E23" si="5">IFERROR(C19+D19/16,"")</f>
        <v>1.5</v>
      </c>
      <c r="F19" s="14">
        <f>IFERROR(VLOOKUP(A19,'MP Pan'!$A$6:$F$35,6,FALSE),0)</f>
        <v>4.5</v>
      </c>
      <c r="G19" s="11">
        <f t="shared" ref="G19:G24" si="6">E19/$E$25</f>
        <v>0.17204301075268819</v>
      </c>
      <c r="H19" s="15">
        <f t="shared" ref="H19:H25" si="7">$E$28*G19</f>
        <v>0.12121212121212123</v>
      </c>
      <c r="I19" s="14">
        <f t="shared" ref="I19:I24" si="8">(F19/16)*H19</f>
        <v>3.4090909090909095E-2</v>
      </c>
      <c r="J19" s="4"/>
      <c r="L19" s="4"/>
      <c r="M19" s="4"/>
    </row>
    <row r="20" spans="1:13" x14ac:dyDescent="0.25">
      <c r="A20" s="12" t="s">
        <v>59</v>
      </c>
      <c r="B20" s="13">
        <f t="shared" si="4"/>
        <v>1.0416666666666666E-2</v>
      </c>
      <c r="C20" s="17"/>
      <c r="D20" s="17">
        <v>0.5</v>
      </c>
      <c r="E20" s="11">
        <f t="shared" si="5"/>
        <v>3.125E-2</v>
      </c>
      <c r="F20" s="14">
        <f>IFERROR(VLOOKUP(A20,'MP Pan'!$A$6:$F$35,6,FALSE),0)</f>
        <v>1.5</v>
      </c>
      <c r="G20" s="11">
        <f t="shared" si="6"/>
        <v>3.5842293906810036E-3</v>
      </c>
      <c r="H20" s="15">
        <f t="shared" si="7"/>
        <v>2.5252525252525255E-3</v>
      </c>
      <c r="I20" s="14">
        <f t="shared" si="8"/>
        <v>2.3674242424242425E-4</v>
      </c>
      <c r="J20" s="4"/>
      <c r="M20" s="4"/>
    </row>
    <row r="21" spans="1:13" x14ac:dyDescent="0.25">
      <c r="A21" s="12" t="s">
        <v>9</v>
      </c>
      <c r="B21" s="13">
        <f t="shared" si="4"/>
        <v>0.5</v>
      </c>
      <c r="C21" s="17">
        <v>1</v>
      </c>
      <c r="D21" s="17">
        <v>8</v>
      </c>
      <c r="E21" s="11">
        <f t="shared" si="5"/>
        <v>1.5</v>
      </c>
      <c r="F21" s="14">
        <f>IFERROR(VLOOKUP(A21,'MP Pan'!$A$6:$F$35,6,FALSE),0)</f>
        <v>4.5999999999999996</v>
      </c>
      <c r="G21" s="11">
        <f t="shared" si="6"/>
        <v>0.17204301075268819</v>
      </c>
      <c r="H21" s="15">
        <f t="shared" si="7"/>
        <v>0.12121212121212123</v>
      </c>
      <c r="I21" s="14">
        <f t="shared" si="8"/>
        <v>3.4848484848484851E-2</v>
      </c>
      <c r="L21" s="4"/>
      <c r="M21" s="4"/>
    </row>
    <row r="22" spans="1:13" x14ac:dyDescent="0.25">
      <c r="A22" s="12" t="s">
        <v>11</v>
      </c>
      <c r="B22" s="13">
        <f t="shared" si="4"/>
        <v>0.25</v>
      </c>
      <c r="C22" s="17"/>
      <c r="D22" s="17">
        <v>12</v>
      </c>
      <c r="E22" s="11">
        <f t="shared" si="5"/>
        <v>0.75</v>
      </c>
      <c r="F22" s="14">
        <f>IFERROR(VLOOKUP(A22,'MP Pan'!$A$6:$F$35,6,FALSE),0)</f>
        <v>7.666666666666667</v>
      </c>
      <c r="G22" s="11">
        <f t="shared" si="6"/>
        <v>8.6021505376344093E-2</v>
      </c>
      <c r="H22" s="15">
        <f t="shared" si="7"/>
        <v>6.0606060606060615E-2</v>
      </c>
      <c r="I22" s="14">
        <f t="shared" si="8"/>
        <v>2.9040404040404047E-2</v>
      </c>
      <c r="K22" s="98"/>
      <c r="L22" s="98"/>
      <c r="M22" s="4"/>
    </row>
    <row r="23" spans="1:13" x14ac:dyDescent="0.25">
      <c r="A23" s="12" t="s">
        <v>12</v>
      </c>
      <c r="B23" s="13">
        <f t="shared" si="4"/>
        <v>0.64583333333333337</v>
      </c>
      <c r="C23" s="17">
        <v>1</v>
      </c>
      <c r="D23" s="17">
        <v>15</v>
      </c>
      <c r="E23" s="11">
        <f t="shared" si="5"/>
        <v>1.9375</v>
      </c>
      <c r="F23" s="14">
        <f>IFERROR(VLOOKUP(A23,'MP Pan'!$A$6:$F$35,6,FALSE),0)</f>
        <v>0.5</v>
      </c>
      <c r="G23" s="11">
        <f t="shared" si="6"/>
        <v>0.22222222222222221</v>
      </c>
      <c r="H23" s="15">
        <f t="shared" si="7"/>
        <v>0.15656565656565657</v>
      </c>
      <c r="I23" s="14">
        <f t="shared" si="8"/>
        <v>4.892676767676768E-3</v>
      </c>
      <c r="K23" s="98"/>
      <c r="L23" s="98"/>
      <c r="M23" s="4"/>
    </row>
    <row r="24" spans="1:13" x14ac:dyDescent="0.25">
      <c r="A24" s="12"/>
      <c r="B24" s="13">
        <f t="shared" si="4"/>
        <v>0</v>
      </c>
      <c r="C24" s="17"/>
      <c r="D24" s="17"/>
      <c r="E24" s="11">
        <f>IFERROR(C24+D24/16," ")</f>
        <v>0</v>
      </c>
      <c r="F24" s="14">
        <f>IFERROR(VLOOKUP(A24,'MP Pan'!$A$6:$F$35,6,FALSE),0)</f>
        <v>0</v>
      </c>
      <c r="G24" s="11">
        <f t="shared" si="6"/>
        <v>0</v>
      </c>
      <c r="H24" s="15">
        <f t="shared" si="7"/>
        <v>0</v>
      </c>
      <c r="I24" s="14">
        <f t="shared" si="8"/>
        <v>0</v>
      </c>
      <c r="K24" s="98"/>
      <c r="L24" s="98"/>
      <c r="M24" s="4"/>
    </row>
    <row r="25" spans="1:13" x14ac:dyDescent="0.25">
      <c r="A25" s="22" t="s">
        <v>13</v>
      </c>
      <c r="B25" s="23"/>
      <c r="C25" s="12">
        <f>SUM(C18:C24)</f>
        <v>6</v>
      </c>
      <c r="D25" s="12">
        <f>SUM(D18:D24)</f>
        <v>43.5</v>
      </c>
      <c r="E25" s="20">
        <f>SUM(E18:E24)</f>
        <v>8.71875</v>
      </c>
      <c r="F25" s="14">
        <f>SUM(F18:F24)</f>
        <v>21.616666666666667</v>
      </c>
      <c r="G25" s="11">
        <f>SUM(G18:G24)</f>
        <v>1</v>
      </c>
      <c r="H25" s="15">
        <f t="shared" si="7"/>
        <v>0.70454545454545459</v>
      </c>
      <c r="I25" s="18">
        <f>SUM(I18:I24)</f>
        <v>0.14629103535353538</v>
      </c>
      <c r="K25" s="98"/>
      <c r="L25" s="98"/>
      <c r="M25" s="4"/>
    </row>
    <row r="26" spans="1:13" x14ac:dyDescent="0.25">
      <c r="E26" s="1"/>
      <c r="F26" s="1"/>
      <c r="G26" s="1"/>
    </row>
    <row r="27" spans="1:13" ht="34.5" x14ac:dyDescent="0.25">
      <c r="B27" s="16" t="s">
        <v>53</v>
      </c>
      <c r="C27" s="12">
        <v>198</v>
      </c>
      <c r="D27" s="9" t="s">
        <v>55</v>
      </c>
      <c r="E27" s="19">
        <f>E25*16</f>
        <v>139.5</v>
      </c>
      <c r="F27" s="6" t="s">
        <v>56</v>
      </c>
      <c r="G27" s="6">
        <f>C27*30</f>
        <v>5940</v>
      </c>
      <c r="H27" s="4">
        <f>G27*I25</f>
        <v>868.96875000000011</v>
      </c>
    </row>
    <row r="28" spans="1:13" x14ac:dyDescent="0.25">
      <c r="B28" s="6" t="s">
        <v>54</v>
      </c>
      <c r="C28" s="7">
        <v>0.33</v>
      </c>
      <c r="D28" s="4">
        <f>C28*C27</f>
        <v>65.34</v>
      </c>
      <c r="E28" s="19">
        <f>E27/C27</f>
        <v>0.70454545454545459</v>
      </c>
      <c r="F28" s="6" t="s">
        <v>57</v>
      </c>
      <c r="G28" s="7">
        <f>G27*C28</f>
        <v>1960.2</v>
      </c>
      <c r="H28" s="4">
        <f>G28-H27</f>
        <v>1091.2312499999998</v>
      </c>
    </row>
    <row r="30" spans="1:13" x14ac:dyDescent="0.25">
      <c r="A30" s="100" t="s">
        <v>63</v>
      </c>
      <c r="B30" s="100"/>
      <c r="C30" s="100"/>
      <c r="D30" s="100"/>
      <c r="E30" s="100"/>
      <c r="F30" s="100"/>
      <c r="G30" s="100"/>
    </row>
    <row r="31" spans="1:13" ht="45" x14ac:dyDescent="0.25">
      <c r="A31" s="5" t="s">
        <v>0</v>
      </c>
      <c r="B31" s="8" t="s">
        <v>1</v>
      </c>
      <c r="C31" s="8" t="s">
        <v>60</v>
      </c>
      <c r="D31" s="8" t="s">
        <v>61</v>
      </c>
      <c r="E31" s="5" t="s">
        <v>2</v>
      </c>
      <c r="F31" s="9" t="s">
        <v>3</v>
      </c>
      <c r="G31" s="10" t="s">
        <v>4</v>
      </c>
      <c r="H31" s="10" t="str">
        <f>_xlfn.CONCAT("Formula para una unidad de (",E42,"Onza)")</f>
        <v>Formula para una unidad de (0.823899371069182Onza)</v>
      </c>
      <c r="I31" s="9" t="s">
        <v>5</v>
      </c>
    </row>
    <row r="32" spans="1:13" x14ac:dyDescent="0.25">
      <c r="A32" s="12" t="s">
        <v>25</v>
      </c>
      <c r="B32" s="13">
        <v>1</v>
      </c>
      <c r="C32" s="17">
        <v>10</v>
      </c>
      <c r="D32" s="17"/>
      <c r="E32" s="11">
        <f>IFERROR(C32+D32/16,"")</f>
        <v>10</v>
      </c>
      <c r="F32" s="14">
        <f>IFERROR(VLOOKUP(A32,'MP Pan'!$A$6:$F$35,6,FALSE),0)</f>
        <v>2.85</v>
      </c>
      <c r="G32" s="11">
        <f>E32/$E$39</f>
        <v>0.61068702290076338</v>
      </c>
      <c r="H32" s="15">
        <f>$E$42*G32</f>
        <v>0.50314465408805031</v>
      </c>
      <c r="I32" s="14">
        <f>(F32/16)*H32</f>
        <v>8.962264150943397E-2</v>
      </c>
    </row>
    <row r="33" spans="1:12" x14ac:dyDescent="0.25">
      <c r="A33" s="12" t="s">
        <v>8</v>
      </c>
      <c r="B33" s="13">
        <f t="shared" ref="B33:B38" si="9">($B$4*E33)/$C$4</f>
        <v>8.3333333333333329E-2</v>
      </c>
      <c r="C33" s="17"/>
      <c r="D33" s="17">
        <v>4</v>
      </c>
      <c r="E33" s="11">
        <f t="shared" ref="E33:E37" si="10">IFERROR(C33+D33/16,"")</f>
        <v>0.25</v>
      </c>
      <c r="F33" s="14">
        <f>IFERROR(VLOOKUP(A33,'MP Pan'!$A$6:$F$35,6,FALSE),0)</f>
        <v>11.5</v>
      </c>
      <c r="G33" s="11">
        <f t="shared" ref="G33:G38" si="11">E33/$E$39</f>
        <v>1.5267175572519083E-2</v>
      </c>
      <c r="H33" s="15">
        <f t="shared" ref="H33:H38" si="12">$E$42*G33</f>
        <v>1.2578616352201259E-2</v>
      </c>
      <c r="I33" s="14">
        <f t="shared" ref="I33:I38" si="13">(F33/16)*H33</f>
        <v>9.0408805031446538E-3</v>
      </c>
    </row>
    <row r="34" spans="1:12" x14ac:dyDescent="0.25">
      <c r="A34" s="12" t="s">
        <v>10</v>
      </c>
      <c r="B34" s="13">
        <f t="shared" si="9"/>
        <v>4.1666666666666664E-2</v>
      </c>
      <c r="C34" s="17"/>
      <c r="D34" s="17">
        <v>2</v>
      </c>
      <c r="E34" s="11">
        <f t="shared" si="10"/>
        <v>0.125</v>
      </c>
      <c r="F34" s="14">
        <f>IFERROR(VLOOKUP(A34,'MP Pan'!$A$6:$F$35,6,FALSE),0)</f>
        <v>1.5</v>
      </c>
      <c r="G34" s="11">
        <f t="shared" si="11"/>
        <v>7.6335877862595417E-3</v>
      </c>
      <c r="H34" s="15">
        <f t="shared" si="12"/>
        <v>6.2893081761006293E-3</v>
      </c>
      <c r="I34" s="14">
        <f t="shared" si="13"/>
        <v>5.8962264150943405E-4</v>
      </c>
      <c r="K34">
        <v>1</v>
      </c>
      <c r="L34">
        <v>3</v>
      </c>
    </row>
    <row r="35" spans="1:12" x14ac:dyDescent="0.25">
      <c r="A35" s="12" t="s">
        <v>7</v>
      </c>
      <c r="B35" s="13">
        <f t="shared" si="9"/>
        <v>8.3333333333333329E-2</v>
      </c>
      <c r="C35" s="17"/>
      <c r="D35" s="17">
        <v>4</v>
      </c>
      <c r="E35" s="11">
        <f t="shared" si="10"/>
        <v>0.25</v>
      </c>
      <c r="F35" s="14">
        <f>IFERROR(VLOOKUP(A35,'MP Pan'!$A$6:$F$35,6,FALSE),0)</f>
        <v>4.5</v>
      </c>
      <c r="G35" s="11">
        <f t="shared" si="11"/>
        <v>1.5267175572519083E-2</v>
      </c>
      <c r="H35" s="15">
        <f t="shared" si="12"/>
        <v>1.2578616352201259E-2</v>
      </c>
      <c r="I35" s="14">
        <f t="shared" si="13"/>
        <v>3.5377358490566039E-3</v>
      </c>
      <c r="K35">
        <v>0.75</v>
      </c>
      <c r="L35">
        <f>K35*$L$34</f>
        <v>2.25</v>
      </c>
    </row>
    <row r="36" spans="1:12" x14ac:dyDescent="0.25">
      <c r="A36" s="12" t="s">
        <v>11</v>
      </c>
      <c r="B36" s="13">
        <f t="shared" si="9"/>
        <v>0.16666666666666666</v>
      </c>
      <c r="C36" s="17"/>
      <c r="D36" s="17">
        <v>8</v>
      </c>
      <c r="E36" s="11">
        <f t="shared" si="10"/>
        <v>0.5</v>
      </c>
      <c r="F36" s="14">
        <f>IFERROR(VLOOKUP(A36,'MP Pan'!$A$6:$F$35,6,FALSE),0)</f>
        <v>7.666666666666667</v>
      </c>
      <c r="G36" s="11">
        <f t="shared" si="11"/>
        <v>3.0534351145038167E-2</v>
      </c>
      <c r="H36" s="15">
        <f t="shared" si="12"/>
        <v>2.5157232704402517E-2</v>
      </c>
      <c r="I36" s="14">
        <f t="shared" si="13"/>
        <v>1.2054507337526207E-2</v>
      </c>
      <c r="K36">
        <v>0.5</v>
      </c>
      <c r="L36">
        <f t="shared" ref="L36:L37" si="14">K36*$L$34</f>
        <v>1.5</v>
      </c>
    </row>
    <row r="37" spans="1:12" x14ac:dyDescent="0.25">
      <c r="A37" s="12" t="s">
        <v>12</v>
      </c>
      <c r="B37" s="13">
        <f t="shared" si="9"/>
        <v>1.75</v>
      </c>
      <c r="C37" s="17">
        <v>5</v>
      </c>
      <c r="D37" s="17">
        <v>4</v>
      </c>
      <c r="E37" s="11">
        <f t="shared" si="10"/>
        <v>5.25</v>
      </c>
      <c r="F37" s="14">
        <f>IFERROR(VLOOKUP(A37,'MP Pan'!$A$6:$F$35,6,FALSE),0)</f>
        <v>0.5</v>
      </c>
      <c r="G37" s="11">
        <f t="shared" si="11"/>
        <v>0.32061068702290074</v>
      </c>
      <c r="H37" s="15">
        <f t="shared" si="12"/>
        <v>0.26415094339622641</v>
      </c>
      <c r="I37" s="14">
        <f t="shared" si="13"/>
        <v>8.2547169811320754E-3</v>
      </c>
      <c r="K37">
        <v>0.25</v>
      </c>
      <c r="L37">
        <f t="shared" si="14"/>
        <v>0.75</v>
      </c>
    </row>
    <row r="38" spans="1:12" x14ac:dyDescent="0.25">
      <c r="A38" s="12"/>
      <c r="B38" s="13">
        <f t="shared" si="9"/>
        <v>0</v>
      </c>
      <c r="C38" s="17"/>
      <c r="D38" s="17"/>
      <c r="E38" s="11">
        <f>IFERROR(C38+D38/16," ")</f>
        <v>0</v>
      </c>
      <c r="F38" s="14">
        <f>IFERROR(VLOOKUP(A38,'MP Pan'!$A$6:$F$35,6,FALSE),0)</f>
        <v>0</v>
      </c>
      <c r="G38" s="11">
        <f t="shared" si="11"/>
        <v>0</v>
      </c>
      <c r="H38" s="15">
        <f t="shared" si="12"/>
        <v>0</v>
      </c>
      <c r="I38" s="14">
        <f t="shared" si="13"/>
        <v>0</v>
      </c>
    </row>
    <row r="39" spans="1:12" x14ac:dyDescent="0.25">
      <c r="A39" s="101" t="s">
        <v>13</v>
      </c>
      <c r="B39" s="101"/>
      <c r="C39" s="12">
        <f>SUM(C32:C38)</f>
        <v>15</v>
      </c>
      <c r="D39" s="12">
        <f>SUM(D33:D38)</f>
        <v>22</v>
      </c>
      <c r="E39" s="20">
        <f>SUM(E32:E38)</f>
        <v>16.375</v>
      </c>
      <c r="F39" s="14">
        <f>SUM(F32:F38)</f>
        <v>28.516666666666669</v>
      </c>
      <c r="G39" s="11">
        <f>SUM(G32:G38)</f>
        <v>1</v>
      </c>
      <c r="H39" s="15">
        <f>$E$42*G39</f>
        <v>0.82389937106918243</v>
      </c>
      <c r="I39" s="18">
        <f>SUM(I32:I38)</f>
        <v>0.12310010482180295</v>
      </c>
    </row>
    <row r="40" spans="1:12" x14ac:dyDescent="0.25">
      <c r="E40" s="1"/>
      <c r="F40" s="1"/>
      <c r="G40" s="1"/>
    </row>
    <row r="41" spans="1:12" ht="34.5" x14ac:dyDescent="0.25">
      <c r="B41" s="16" t="s">
        <v>53</v>
      </c>
      <c r="C41" s="12">
        <v>318</v>
      </c>
      <c r="D41" s="9" t="s">
        <v>64</v>
      </c>
      <c r="E41" s="19">
        <f>E39*16</f>
        <v>262</v>
      </c>
      <c r="F41" s="6" t="s">
        <v>56</v>
      </c>
      <c r="G41" s="6">
        <f>C41*30</f>
        <v>9540</v>
      </c>
    </row>
    <row r="42" spans="1:12" x14ac:dyDescent="0.25">
      <c r="B42" s="6" t="s">
        <v>54</v>
      </c>
      <c r="C42" s="7">
        <f>2.25/8</f>
        <v>0.28125</v>
      </c>
      <c r="D42" s="4"/>
      <c r="E42" s="21">
        <f>E41/C41</f>
        <v>0.82389937106918243</v>
      </c>
      <c r="F42" s="6" t="s">
        <v>57</v>
      </c>
      <c r="G42" s="7">
        <f>G41*C42</f>
        <v>2683.125</v>
      </c>
    </row>
    <row r="44" spans="1:12" x14ac:dyDescent="0.25">
      <c r="A44" s="100" t="s">
        <v>11</v>
      </c>
      <c r="B44" s="100"/>
      <c r="C44" s="100"/>
      <c r="D44" s="100"/>
      <c r="E44" s="100"/>
      <c r="F44" s="100"/>
      <c r="G44" s="100"/>
    </row>
    <row r="45" spans="1:12" ht="45" x14ac:dyDescent="0.25">
      <c r="A45" s="5" t="s">
        <v>0</v>
      </c>
      <c r="B45" s="8" t="s">
        <v>1</v>
      </c>
      <c r="C45" s="8" t="s">
        <v>60</v>
      </c>
      <c r="D45" s="8" t="s">
        <v>61</v>
      </c>
      <c r="E45" s="5" t="s">
        <v>2</v>
      </c>
      <c r="F45" s="9" t="s">
        <v>3</v>
      </c>
      <c r="G45" s="10" t="s">
        <v>4</v>
      </c>
      <c r="H45" s="9" t="s">
        <v>58</v>
      </c>
      <c r="I45" s="9" t="s">
        <v>5</v>
      </c>
      <c r="J45" s="3"/>
    </row>
    <row r="46" spans="1:12" x14ac:dyDescent="0.25">
      <c r="A46" s="12" t="s">
        <v>6</v>
      </c>
      <c r="B46" s="13">
        <v>1</v>
      </c>
      <c r="C46" s="17">
        <v>5</v>
      </c>
      <c r="D46" s="17"/>
      <c r="E46" s="11">
        <f>IFERROR(C46+D46/16,"")</f>
        <v>5</v>
      </c>
      <c r="F46" s="14">
        <f>IFERROR(VLOOKUP(A46,'MP Pan'!$A$6:$F$35,6,FALSE),0)</f>
        <v>2.85</v>
      </c>
      <c r="G46" s="11">
        <f>E46/$C$11</f>
        <v>0.5734602592040372</v>
      </c>
      <c r="H46" s="15">
        <f>$E$56*G46</f>
        <v>0.45500306424724363</v>
      </c>
      <c r="I46" s="14">
        <f>(F46/16)*H46</f>
        <v>8.1047420819040275E-2</v>
      </c>
      <c r="J46" s="4"/>
    </row>
    <row r="47" spans="1:12" x14ac:dyDescent="0.25">
      <c r="A47" s="12" t="s">
        <v>7</v>
      </c>
      <c r="B47" s="13">
        <f t="shared" ref="B47:B52" si="15">($B$4*E47)/$C$4</f>
        <v>0.5</v>
      </c>
      <c r="C47" s="17">
        <v>1</v>
      </c>
      <c r="D47" s="17">
        <v>8</v>
      </c>
      <c r="E47" s="11">
        <f t="shared" ref="E47:E51" si="16">IFERROR(C47+D47/16,"")</f>
        <v>1.5</v>
      </c>
      <c r="F47" s="14">
        <f>IFERROR(VLOOKUP(A47,'MP Pan'!$A$6:$F$35,6,FALSE),0)</f>
        <v>4.5</v>
      </c>
      <c r="G47" s="11">
        <f t="shared" ref="G47:G52" si="17">E47/$C$11</f>
        <v>0.17203807776121116</v>
      </c>
      <c r="H47" s="15">
        <f t="shared" ref="H47:H52" si="18">$E$56*G47</f>
        <v>0.1365009192741731</v>
      </c>
      <c r="I47" s="14">
        <f t="shared" ref="I47:I52" si="19">(F47/16)*H47</f>
        <v>3.8390883545861183E-2</v>
      </c>
      <c r="J47" s="4"/>
    </row>
    <row r="48" spans="1:12" x14ac:dyDescent="0.25">
      <c r="A48" s="12" t="s">
        <v>8</v>
      </c>
      <c r="B48" s="13">
        <f t="shared" si="15"/>
        <v>6.25E-2</v>
      </c>
      <c r="C48" s="17"/>
      <c r="D48" s="17">
        <v>3</v>
      </c>
      <c r="E48" s="11">
        <f t="shared" si="16"/>
        <v>0.1875</v>
      </c>
      <c r="F48" s="14">
        <f>IFERROR(VLOOKUP(A48,'MP Pan'!$A$6:$F$35,6,FALSE),0)</f>
        <v>11.5</v>
      </c>
      <c r="G48" s="11">
        <f t="shared" si="17"/>
        <v>2.1504759720151395E-2</v>
      </c>
      <c r="H48" s="15">
        <f t="shared" si="18"/>
        <v>1.7062614909271637E-2</v>
      </c>
      <c r="I48" s="14">
        <f t="shared" si="19"/>
        <v>1.2263754466038989E-2</v>
      </c>
      <c r="J48" s="4"/>
    </row>
    <row r="49" spans="1:9" x14ac:dyDescent="0.25">
      <c r="A49" s="12" t="s">
        <v>9</v>
      </c>
      <c r="B49" s="13">
        <f t="shared" si="15"/>
        <v>8.3333333333333329E-2</v>
      </c>
      <c r="C49" s="17"/>
      <c r="D49" s="17">
        <v>4</v>
      </c>
      <c r="E49" s="11">
        <f t="shared" si="16"/>
        <v>0.25</v>
      </c>
      <c r="F49" s="14">
        <f>IFERROR(VLOOKUP(A49,'MP Pan'!$A$6:$F$35,6,FALSE),0)</f>
        <v>4.5999999999999996</v>
      </c>
      <c r="G49" s="11">
        <f t="shared" si="17"/>
        <v>2.867301296020186E-2</v>
      </c>
      <c r="H49" s="15">
        <f t="shared" si="18"/>
        <v>2.2750153212362182E-2</v>
      </c>
      <c r="I49" s="14">
        <f t="shared" si="19"/>
        <v>6.5406690485541267E-3</v>
      </c>
    </row>
    <row r="50" spans="1:9" x14ac:dyDescent="0.25">
      <c r="A50" s="12" t="s">
        <v>10</v>
      </c>
      <c r="B50" s="13">
        <f t="shared" si="15"/>
        <v>2.0833333333333333E-3</v>
      </c>
      <c r="C50" s="17"/>
      <c r="D50" s="17">
        <v>0.1</v>
      </c>
      <c r="E50" s="11">
        <f t="shared" si="16"/>
        <v>6.2500000000000003E-3</v>
      </c>
      <c r="F50" s="14">
        <f>IFERROR(VLOOKUP(A50,'MP Pan'!$A$6:$F$35,6,FALSE),0)</f>
        <v>1.5</v>
      </c>
      <c r="G50" s="11">
        <f t="shared" si="17"/>
        <v>7.1682532400504657E-4</v>
      </c>
      <c r="H50" s="15">
        <f t="shared" si="18"/>
        <v>5.6875383030905455E-4</v>
      </c>
      <c r="I50" s="14">
        <f t="shared" si="19"/>
        <v>5.3320671591473864E-5</v>
      </c>
    </row>
    <row r="51" spans="1:9" x14ac:dyDescent="0.25">
      <c r="A51" s="12" t="s">
        <v>11</v>
      </c>
      <c r="B51" s="13">
        <f t="shared" si="15"/>
        <v>0.20833333333333334</v>
      </c>
      <c r="C51" s="17"/>
      <c r="D51" s="17">
        <v>10</v>
      </c>
      <c r="E51" s="11">
        <f t="shared" si="16"/>
        <v>0.625</v>
      </c>
      <c r="F51" s="14">
        <f>IFERROR(VLOOKUP(A51,'MP Pan'!$A$6:$F$35,6,FALSE),0)</f>
        <v>7.666666666666667</v>
      </c>
      <c r="G51" s="11">
        <f t="shared" si="17"/>
        <v>7.168253240050465E-2</v>
      </c>
      <c r="H51" s="15">
        <f t="shared" si="18"/>
        <v>5.6875383030905453E-2</v>
      </c>
      <c r="I51" s="14">
        <f t="shared" si="19"/>
        <v>2.7252787702308864E-2</v>
      </c>
    </row>
    <row r="52" spans="1:9" x14ac:dyDescent="0.25">
      <c r="A52" s="12" t="s">
        <v>12</v>
      </c>
      <c r="B52" s="13">
        <f t="shared" si="15"/>
        <v>0.75</v>
      </c>
      <c r="C52" s="17">
        <v>2</v>
      </c>
      <c r="D52" s="17">
        <v>4</v>
      </c>
      <c r="E52" s="11">
        <f>IFERROR(C52+D52/16," ")</f>
        <v>2.25</v>
      </c>
      <c r="F52" s="14">
        <f>IFERROR(VLOOKUP(A52,'MP Pan'!$A$6:$F$35,6,FALSE),0)</f>
        <v>0.5</v>
      </c>
      <c r="G52" s="11">
        <f t="shared" si="17"/>
        <v>0.25805711664181674</v>
      </c>
      <c r="H52" s="15">
        <f t="shared" si="18"/>
        <v>0.20475137891125963</v>
      </c>
      <c r="I52" s="14">
        <f t="shared" si="19"/>
        <v>6.3984805909768636E-3</v>
      </c>
    </row>
    <row r="53" spans="1:9" x14ac:dyDescent="0.25">
      <c r="A53" s="101" t="s">
        <v>13</v>
      </c>
      <c r="B53" s="101"/>
      <c r="C53" s="12"/>
      <c r="D53" s="12"/>
      <c r="E53" s="20">
        <f>SUM(E46:E52)</f>
        <v>9.8187499999999996</v>
      </c>
      <c r="F53" s="14">
        <f>SUM(F46:F52)</f>
        <v>33.116666666666667</v>
      </c>
      <c r="G53" s="11">
        <f>SUM(G46:G52)</f>
        <v>1.1261325840119283</v>
      </c>
      <c r="H53" s="15">
        <f>$E$56*G53</f>
        <v>0.89351226741552481</v>
      </c>
      <c r="I53" s="18">
        <f>SUM(I46:I52)</f>
        <v>0.17194731684437181</v>
      </c>
    </row>
    <row r="54" spans="1:9" x14ac:dyDescent="0.25">
      <c r="E54" s="1"/>
      <c r="F54" s="1"/>
      <c r="G54" s="1"/>
    </row>
    <row r="55" spans="1:9" ht="34.5" x14ac:dyDescent="0.25">
      <c r="B55" s="16" t="s">
        <v>53</v>
      </c>
      <c r="C55" s="12">
        <v>198</v>
      </c>
      <c r="D55" s="9" t="s">
        <v>55</v>
      </c>
      <c r="E55" s="19">
        <f>E53*16</f>
        <v>157.1</v>
      </c>
      <c r="F55" s="6" t="s">
        <v>56</v>
      </c>
      <c r="G55" s="6">
        <f>C55*30</f>
        <v>5940</v>
      </c>
    </row>
    <row r="56" spans="1:9" x14ac:dyDescent="0.25">
      <c r="B56" s="6" t="s">
        <v>54</v>
      </c>
      <c r="C56" s="7">
        <v>0.33</v>
      </c>
      <c r="D56" s="4">
        <f>C56*C55</f>
        <v>65.34</v>
      </c>
      <c r="E56" s="19">
        <f>E55/C55</f>
        <v>0.79343434343434338</v>
      </c>
      <c r="F56" s="6" t="s">
        <v>57</v>
      </c>
      <c r="G56" s="7">
        <f>G55*C56</f>
        <v>1960.2</v>
      </c>
    </row>
  </sheetData>
  <mergeCells count="11">
    <mergeCell ref="K22:L22"/>
    <mergeCell ref="K23:L23"/>
    <mergeCell ref="K24:L24"/>
    <mergeCell ref="K25:L25"/>
    <mergeCell ref="A39:B39"/>
    <mergeCell ref="A44:G44"/>
    <mergeCell ref="A53:B53"/>
    <mergeCell ref="A11:B11"/>
    <mergeCell ref="A2:G2"/>
    <mergeCell ref="A16:G16"/>
    <mergeCell ref="A30:G30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CB20-565C-4B8D-A475-1B5E5401E2B5}">
  <sheetPr codeName="Sheet11"/>
  <dimension ref="B1:O25"/>
  <sheetViews>
    <sheetView workbookViewId="0">
      <selection activeCell="D18" sqref="D18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62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6</v>
      </c>
      <c r="C4" s="56">
        <v>1</v>
      </c>
      <c r="D4" s="57">
        <v>3</v>
      </c>
      <c r="E4" s="57"/>
      <c r="F4" s="58">
        <f>IFERROR(D4+E4/16,"")</f>
        <v>3</v>
      </c>
      <c r="G4" s="59">
        <f>IFERROR(VLOOKUP(B4,'MP Pan'!$A$6:$F$35,6,FALSE),0)</f>
        <v>2.85</v>
      </c>
      <c r="H4" s="59">
        <f>F4*G4</f>
        <v>8.5500000000000007</v>
      </c>
      <c r="I4" s="58">
        <f>F4/$F$14</f>
        <v>0.38866396761133604</v>
      </c>
      <c r="J4" s="60">
        <f>$D$20*I4</f>
        <v>0.2424242424242424</v>
      </c>
      <c r="K4" s="61">
        <f>(G4/16)*J4</f>
        <v>4.3181818181818182E-2</v>
      </c>
      <c r="L4" s="35"/>
    </row>
    <row r="5" spans="2:15" x14ac:dyDescent="0.25">
      <c r="B5" s="53" t="s">
        <v>7</v>
      </c>
      <c r="C5" s="30">
        <f t="shared" ref="C5:C13" si="0">($C$4*F5)/$D$4</f>
        <v>0.5</v>
      </c>
      <c r="D5" s="31">
        <v>1</v>
      </c>
      <c r="E5" s="31">
        <v>8</v>
      </c>
      <c r="F5" s="32">
        <f t="shared" ref="F5:F9" si="1">IFERROR(D5+E5/16,"")</f>
        <v>1.5</v>
      </c>
      <c r="G5" s="33">
        <f>IFERROR(VLOOKUP(B5,'MP Pan'!$A$6:$F$35,6,FALSE),0)</f>
        <v>4.5</v>
      </c>
      <c r="H5" s="33">
        <f t="shared" ref="H5:H10" si="2">F5*G5</f>
        <v>6.75</v>
      </c>
      <c r="I5" s="32">
        <f t="shared" ref="I5:I10" si="3">F5/$F$14</f>
        <v>0.19433198380566802</v>
      </c>
      <c r="J5" s="34">
        <f t="shared" ref="J5:J13" si="4">$D$20*I5</f>
        <v>0.1212121212121212</v>
      </c>
      <c r="K5" s="54">
        <f t="shared" ref="K5:K10" si="5">(G5/16)*J5</f>
        <v>3.4090909090909088E-2</v>
      </c>
      <c r="L5" s="35"/>
      <c r="N5" s="35"/>
      <c r="O5" s="35"/>
    </row>
    <row r="6" spans="2:15" x14ac:dyDescent="0.25">
      <c r="B6" s="53" t="s">
        <v>59</v>
      </c>
      <c r="C6" s="30">
        <f t="shared" si="0"/>
        <v>1.0416666666666666E-2</v>
      </c>
      <c r="D6" s="31"/>
      <c r="E6" s="31">
        <v>0.5</v>
      </c>
      <c r="F6" s="32">
        <f t="shared" si="1"/>
        <v>3.125E-2</v>
      </c>
      <c r="G6" s="33">
        <f>IFERROR(VLOOKUP(B6,'MP Pan'!$A$6:$F$35,6,FALSE),0)</f>
        <v>1.5</v>
      </c>
      <c r="H6" s="33">
        <f t="shared" si="2"/>
        <v>4.6875E-2</v>
      </c>
      <c r="I6" s="32">
        <f t="shared" si="3"/>
        <v>4.048582995951417E-3</v>
      </c>
      <c r="J6" s="34">
        <f t="shared" si="4"/>
        <v>2.525252525252525E-3</v>
      </c>
      <c r="K6" s="54">
        <f t="shared" si="5"/>
        <v>2.3674242424242422E-4</v>
      </c>
      <c r="L6" s="35"/>
      <c r="O6" s="35"/>
    </row>
    <row r="7" spans="2:15" x14ac:dyDescent="0.25">
      <c r="B7" s="53" t="s">
        <v>9</v>
      </c>
      <c r="C7" s="30">
        <f t="shared" si="0"/>
        <v>0.5</v>
      </c>
      <c r="D7" s="31">
        <v>1</v>
      </c>
      <c r="E7" s="31">
        <v>8</v>
      </c>
      <c r="F7" s="32">
        <f t="shared" si="1"/>
        <v>1.5</v>
      </c>
      <c r="G7" s="33">
        <f>IFERROR(VLOOKUP(B7,'MP Pan'!$A$6:$F$35,6,FALSE),0)</f>
        <v>4.5999999999999996</v>
      </c>
      <c r="H7" s="33">
        <f t="shared" si="2"/>
        <v>6.8999999999999995</v>
      </c>
      <c r="I7" s="32">
        <f t="shared" si="3"/>
        <v>0.19433198380566802</v>
      </c>
      <c r="J7" s="34">
        <f t="shared" si="4"/>
        <v>0.1212121212121212</v>
      </c>
      <c r="K7" s="54">
        <f t="shared" si="5"/>
        <v>3.4848484848484844E-2</v>
      </c>
      <c r="N7" s="35"/>
      <c r="O7" s="35"/>
    </row>
    <row r="8" spans="2:15" x14ac:dyDescent="0.25">
      <c r="B8" s="53" t="s">
        <v>11</v>
      </c>
      <c r="C8" s="30">
        <f t="shared" si="0"/>
        <v>0.25</v>
      </c>
      <c r="D8" s="31"/>
      <c r="E8" s="31">
        <v>12</v>
      </c>
      <c r="F8" s="32">
        <f t="shared" si="1"/>
        <v>0.75</v>
      </c>
      <c r="G8" s="33">
        <f>IFERROR(VLOOKUP(B8,'MP Pan'!$A$6:$F$35,6,FALSE),0)</f>
        <v>7.666666666666667</v>
      </c>
      <c r="H8" s="33">
        <f t="shared" si="2"/>
        <v>5.75</v>
      </c>
      <c r="I8" s="32">
        <f t="shared" si="3"/>
        <v>9.7165991902834009E-2</v>
      </c>
      <c r="J8" s="34">
        <f t="shared" si="4"/>
        <v>6.0606060606060601E-2</v>
      </c>
      <c r="K8" s="54">
        <f t="shared" si="5"/>
        <v>2.904040404040404E-2</v>
      </c>
      <c r="M8" s="95"/>
      <c r="N8" s="95"/>
      <c r="O8" s="35"/>
    </row>
    <row r="9" spans="2:15" x14ac:dyDescent="0.25">
      <c r="B9" s="53" t="s">
        <v>12</v>
      </c>
      <c r="C9" s="30">
        <f t="shared" si="0"/>
        <v>0.3125</v>
      </c>
      <c r="D9" s="31"/>
      <c r="E9" s="31">
        <v>15</v>
      </c>
      <c r="F9" s="32">
        <f t="shared" si="1"/>
        <v>0.9375</v>
      </c>
      <c r="G9" s="33">
        <f>IFERROR(VLOOKUP(B9,'MP Pan'!$A$6:$F$35,6,FALSE),0)</f>
        <v>0.5</v>
      </c>
      <c r="H9" s="33">
        <f t="shared" si="2"/>
        <v>0.46875</v>
      </c>
      <c r="I9" s="32">
        <f t="shared" si="3"/>
        <v>0.1214574898785425</v>
      </c>
      <c r="J9" s="34">
        <f t="shared" si="4"/>
        <v>7.5757575757575746E-2</v>
      </c>
      <c r="K9" s="54">
        <f t="shared" si="5"/>
        <v>2.3674242424242421E-3</v>
      </c>
      <c r="M9" s="95"/>
      <c r="N9" s="95"/>
      <c r="O9" s="35"/>
    </row>
    <row r="10" spans="2:15" x14ac:dyDescent="0.25">
      <c r="B10" s="53"/>
      <c r="C10" s="30">
        <f t="shared" si="0"/>
        <v>0</v>
      </c>
      <c r="D10" s="31"/>
      <c r="E10" s="31"/>
      <c r="F10" s="32">
        <f>IFERROR(D10+E10/16," ")</f>
        <v>0</v>
      </c>
      <c r="G10" s="33">
        <f>IFERROR(VLOOKUP(B10,'MP Pan'!$A$6:$F$35,6,FALSE),0)</f>
        <v>0</v>
      </c>
      <c r="H10" s="33">
        <f t="shared" si="2"/>
        <v>0</v>
      </c>
      <c r="I10" s="32">
        <f t="shared" si="3"/>
        <v>0</v>
      </c>
      <c r="J10" s="34">
        <f t="shared" si="4"/>
        <v>0</v>
      </c>
      <c r="K10" s="54">
        <f t="shared" si="5"/>
        <v>0</v>
      </c>
      <c r="M10" s="95"/>
      <c r="N10" s="95"/>
      <c r="O10" s="35"/>
    </row>
    <row r="11" spans="2:15" x14ac:dyDescent="0.25">
      <c r="B11" s="53"/>
      <c r="C11" s="30">
        <f t="shared" si="0"/>
        <v>0</v>
      </c>
      <c r="D11" s="31"/>
      <c r="E11" s="31"/>
      <c r="F11" s="32">
        <f t="shared" ref="F11:F13" si="6">IFERROR(D11+E11/16," ")</f>
        <v>0</v>
      </c>
      <c r="G11" s="33">
        <f>IFERROR(VLOOKUP(B11,'MP Pan'!$A$6:$F$35,6,FALSE),0)</f>
        <v>0</v>
      </c>
      <c r="H11" s="33">
        <f t="shared" ref="H11:H13" si="7">F11*G11</f>
        <v>0</v>
      </c>
      <c r="I11" s="32">
        <f t="shared" ref="I11:I13" si="8">F11/$F$14</f>
        <v>0</v>
      </c>
      <c r="J11" s="34">
        <f t="shared" si="4"/>
        <v>0</v>
      </c>
      <c r="K11" s="54">
        <f t="shared" ref="K11:K13" si="9">(G11/16)*J11</f>
        <v>0</v>
      </c>
      <c r="M11" s="36"/>
      <c r="N11" s="36"/>
      <c r="O11" s="35"/>
    </row>
    <row r="12" spans="2:15" x14ac:dyDescent="0.25">
      <c r="B12" s="53"/>
      <c r="C12" s="30">
        <f t="shared" si="0"/>
        <v>0</v>
      </c>
      <c r="D12" s="31"/>
      <c r="E12" s="31"/>
      <c r="F12" s="32">
        <f t="shared" si="6"/>
        <v>0</v>
      </c>
      <c r="G12" s="33">
        <f>IFERROR(VLOOKUP(B12,'MP Pan'!$A$6:$F$35,6,FALSE),0)</f>
        <v>0</v>
      </c>
      <c r="H12" s="33">
        <f t="shared" si="7"/>
        <v>0</v>
      </c>
      <c r="I12" s="32">
        <f t="shared" si="8"/>
        <v>0</v>
      </c>
      <c r="J12" s="34">
        <f t="shared" si="4"/>
        <v>0</v>
      </c>
      <c r="K12" s="54">
        <f t="shared" si="9"/>
        <v>0</v>
      </c>
      <c r="M12" s="36"/>
      <c r="N12" s="36"/>
      <c r="O12" s="35"/>
    </row>
    <row r="13" spans="2:15" ht="15.75" thickBot="1" x14ac:dyDescent="0.3">
      <c r="B13" s="68"/>
      <c r="C13" s="69">
        <f t="shared" si="0"/>
        <v>0</v>
      </c>
      <c r="D13" s="70"/>
      <c r="E13" s="70"/>
      <c r="F13" s="71">
        <f t="shared" si="6"/>
        <v>0</v>
      </c>
      <c r="G13" s="72">
        <f>IFERROR(VLOOKUP(B13,'MP Pan'!$A$6:$F$35,6,FALSE),0)</f>
        <v>0</v>
      </c>
      <c r="H13" s="72">
        <f t="shared" si="7"/>
        <v>0</v>
      </c>
      <c r="I13" s="71">
        <f t="shared" si="8"/>
        <v>0</v>
      </c>
      <c r="J13" s="73">
        <f t="shared" si="4"/>
        <v>0</v>
      </c>
      <c r="K13" s="74">
        <f t="shared" si="9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>SUM(D4:D13)</f>
        <v>5</v>
      </c>
      <c r="E14" s="75">
        <f t="shared" ref="E14:I14" si="10">SUM(E4:E13)</f>
        <v>43.5</v>
      </c>
      <c r="F14" s="75">
        <f t="shared" si="10"/>
        <v>7.71875</v>
      </c>
      <c r="G14" s="76">
        <f t="shared" si="10"/>
        <v>21.616666666666667</v>
      </c>
      <c r="H14" s="76">
        <f t="shared" si="10"/>
        <v>28.465624999999999</v>
      </c>
      <c r="I14" s="75">
        <f t="shared" si="10"/>
        <v>1</v>
      </c>
      <c r="J14" s="77">
        <f>$D$20*I14</f>
        <v>0.6237373737373737</v>
      </c>
      <c r="K14" s="78">
        <f>SUM(K4:K13)</f>
        <v>0.14376578282828284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v>198</v>
      </c>
      <c r="E16" s="27" t="str">
        <f>_xlfn.CONCAT("Pan ",B2,)</f>
        <v>Pan Tostado</v>
      </c>
      <c r="F16" s="25"/>
      <c r="G16" s="52" t="s">
        <v>56</v>
      </c>
      <c r="H16" s="49">
        <f>D16*30</f>
        <v>5940</v>
      </c>
      <c r="I16" s="35"/>
    </row>
    <row r="17" spans="3:9" ht="15.75" thickBot="1" x14ac:dyDescent="0.3">
      <c r="C17" s="39" t="s">
        <v>54</v>
      </c>
      <c r="D17" s="40">
        <v>0.33</v>
      </c>
      <c r="E17" s="35"/>
      <c r="F17" s="25"/>
      <c r="G17" s="46" t="s">
        <v>57</v>
      </c>
      <c r="H17" s="47">
        <f>H16*D17</f>
        <v>1960.2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123.5</v>
      </c>
    </row>
    <row r="20" spans="3:9" ht="15.75" thickBot="1" x14ac:dyDescent="0.3">
      <c r="C20" s="50" t="s">
        <v>68</v>
      </c>
      <c r="D20" s="51">
        <f>D19/D16</f>
        <v>0.6237373737373737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28.465624999999999</v>
      </c>
    </row>
    <row r="23" spans="3:9" x14ac:dyDescent="0.25">
      <c r="C23" s="44" t="s">
        <v>70</v>
      </c>
      <c r="D23" s="39"/>
      <c r="E23" s="45">
        <f>D17*D16</f>
        <v>65.34</v>
      </c>
    </row>
    <row r="24" spans="3:9" x14ac:dyDescent="0.25">
      <c r="C24" s="44" t="s">
        <v>66</v>
      </c>
      <c r="D24" s="39"/>
      <c r="E24" s="45">
        <f>E23-E22</f>
        <v>36.874375000000001</v>
      </c>
    </row>
    <row r="25" spans="3:9" ht="15.75" thickBot="1" x14ac:dyDescent="0.3">
      <c r="C25" s="90" t="s">
        <v>72</v>
      </c>
      <c r="D25" s="91"/>
      <c r="E25" s="79">
        <f>E24/E22</f>
        <v>1.2954001536941486</v>
      </c>
      <c r="G25" s="35"/>
    </row>
  </sheetData>
  <mergeCells count="7">
    <mergeCell ref="C25:D25"/>
    <mergeCell ref="B2:K2"/>
    <mergeCell ref="B14:C14"/>
    <mergeCell ref="M8:N8"/>
    <mergeCell ref="M9:N9"/>
    <mergeCell ref="M10:N10"/>
    <mergeCell ref="M14:N1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D849-C8BD-4CB9-BCB8-D31D2B2A98AE}">
  <sheetPr codeName="Sheet12"/>
  <dimension ref="B1:O25"/>
  <sheetViews>
    <sheetView workbookViewId="0">
      <selection activeCell="E23" sqref="E23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1" width="19" style="26" customWidth="1"/>
    <col min="12" max="16384" width="9.140625" style="26"/>
  </cols>
  <sheetData>
    <row r="1" spans="2:15" ht="15.75" thickBot="1" x14ac:dyDescent="0.3"/>
    <row r="2" spans="2:15" ht="15.75" thickBot="1" x14ac:dyDescent="0.3">
      <c r="B2" s="92" t="s">
        <v>73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6</v>
      </c>
      <c r="C4" s="56">
        <v>1</v>
      </c>
      <c r="D4" s="57">
        <v>5</v>
      </c>
      <c r="E4" s="57">
        <v>8</v>
      </c>
      <c r="F4" s="58">
        <f>IFERROR(D4+E4/16,"")</f>
        <v>5.5</v>
      </c>
      <c r="G4" s="59">
        <f>IFERROR(VLOOKUP(B4,'MP Pan'!$A$6:$F$35,6,FALSE),0)</f>
        <v>2.85</v>
      </c>
      <c r="H4" s="59">
        <f>F4*G4</f>
        <v>15.675000000000001</v>
      </c>
      <c r="I4" s="58">
        <f>F4/$F$14</f>
        <v>0.44221105527638194</v>
      </c>
      <c r="J4" s="60">
        <f>$D$20*I4</f>
        <v>6.1111111111111116E-2</v>
      </c>
      <c r="K4" s="80">
        <f>(G4/16)*J4</f>
        <v>1.0885416666666668E-2</v>
      </c>
      <c r="L4" s="35"/>
    </row>
    <row r="5" spans="2:15" x14ac:dyDescent="0.25">
      <c r="B5" s="53" t="s">
        <v>7</v>
      </c>
      <c r="C5" s="30">
        <f>IFERROR(($C$4*F5)/$D$4,"")</f>
        <v>0.35</v>
      </c>
      <c r="D5" s="31">
        <v>1</v>
      </c>
      <c r="E5" s="31">
        <v>12</v>
      </c>
      <c r="F5" s="32">
        <f t="shared" ref="F5:F12" si="0">IFERROR(D5+E5/16,"")</f>
        <v>1.75</v>
      </c>
      <c r="G5" s="33">
        <f>IFERROR(VLOOKUP(B5,'MP Pan'!$A$6:$F$35,6,FALSE),0)</f>
        <v>4.5</v>
      </c>
      <c r="H5" s="33">
        <f t="shared" ref="H5:H13" si="1">F5*G5</f>
        <v>7.875</v>
      </c>
      <c r="I5" s="32">
        <f t="shared" ref="I5:I13" si="2">F5/$F$14</f>
        <v>0.1407035175879397</v>
      </c>
      <c r="J5" s="34">
        <f t="shared" ref="J5:J13" si="3">$D$20*I5</f>
        <v>1.9444444444444445E-2</v>
      </c>
      <c r="K5" s="81">
        <f t="shared" ref="K5:K13" si="4">(G5/16)*J5</f>
        <v>5.4687499999999997E-3</v>
      </c>
      <c r="L5" s="35"/>
      <c r="N5" s="35"/>
      <c r="O5" s="35"/>
    </row>
    <row r="6" spans="2:15" x14ac:dyDescent="0.25">
      <c r="B6" s="53" t="s">
        <v>8</v>
      </c>
      <c r="C6" s="30">
        <f t="shared" ref="C6:C13" si="5">IFERROR(($C$4*F6)/$D$4,"")</f>
        <v>1.2500000000000001E-2</v>
      </c>
      <c r="D6" s="31"/>
      <c r="E6" s="31">
        <v>1</v>
      </c>
      <c r="F6" s="32">
        <f t="shared" si="0"/>
        <v>6.25E-2</v>
      </c>
      <c r="G6" s="33">
        <f>IFERROR(VLOOKUP(B6,'MP Pan'!$A$6:$F$35,6,FALSE),0)</f>
        <v>11.5</v>
      </c>
      <c r="H6" s="33">
        <f t="shared" si="1"/>
        <v>0.71875</v>
      </c>
      <c r="I6" s="32">
        <f t="shared" si="2"/>
        <v>5.0251256281407036E-3</v>
      </c>
      <c r="J6" s="34">
        <f t="shared" si="3"/>
        <v>6.9444444444444447E-4</v>
      </c>
      <c r="K6" s="81">
        <f t="shared" si="4"/>
        <v>4.9913194444444451E-4</v>
      </c>
      <c r="L6" s="35"/>
      <c r="O6" s="35"/>
    </row>
    <row r="7" spans="2:15" x14ac:dyDescent="0.25">
      <c r="B7" s="53" t="s">
        <v>9</v>
      </c>
      <c r="C7" s="30">
        <f t="shared" si="5"/>
        <v>1.2500000000000001E-2</v>
      </c>
      <c r="D7" s="31"/>
      <c r="E7" s="31">
        <v>1</v>
      </c>
      <c r="F7" s="32">
        <f t="shared" si="0"/>
        <v>6.25E-2</v>
      </c>
      <c r="G7" s="33">
        <f>IFERROR(VLOOKUP(B7,'MP Pan'!$A$6:$F$35,6,FALSE),0)</f>
        <v>4.5999999999999996</v>
      </c>
      <c r="H7" s="33">
        <f t="shared" si="1"/>
        <v>0.28749999999999998</v>
      </c>
      <c r="I7" s="32">
        <f t="shared" si="2"/>
        <v>5.0251256281407036E-3</v>
      </c>
      <c r="J7" s="34">
        <f t="shared" si="3"/>
        <v>6.9444444444444447E-4</v>
      </c>
      <c r="K7" s="81">
        <f t="shared" si="4"/>
        <v>1.9965277777777776E-4</v>
      </c>
      <c r="N7" s="35"/>
      <c r="O7" s="35"/>
    </row>
    <row r="8" spans="2:15" x14ac:dyDescent="0.25">
      <c r="B8" s="53" t="s">
        <v>10</v>
      </c>
      <c r="C8" s="30">
        <f t="shared" si="5"/>
        <v>1.2500000000000001E-2</v>
      </c>
      <c r="D8" s="31"/>
      <c r="E8" s="31">
        <v>1</v>
      </c>
      <c r="F8" s="32">
        <f t="shared" si="0"/>
        <v>6.25E-2</v>
      </c>
      <c r="G8" s="33">
        <f>IFERROR(VLOOKUP(B8,'MP Pan'!$A$6:$F$35,6,FALSE),0)</f>
        <v>1.5</v>
      </c>
      <c r="H8" s="33">
        <f t="shared" si="1"/>
        <v>9.375E-2</v>
      </c>
      <c r="I8" s="32">
        <f t="shared" si="2"/>
        <v>5.0251256281407036E-3</v>
      </c>
      <c r="J8" s="34">
        <f t="shared" si="3"/>
        <v>6.9444444444444447E-4</v>
      </c>
      <c r="K8" s="81">
        <f t="shared" si="4"/>
        <v>6.5104166666666666E-5</v>
      </c>
      <c r="M8" s="95"/>
      <c r="N8" s="95"/>
      <c r="O8" s="35"/>
    </row>
    <row r="9" spans="2:15" x14ac:dyDescent="0.25">
      <c r="B9" s="53" t="s">
        <v>11</v>
      </c>
      <c r="C9" s="30">
        <f t="shared" si="5"/>
        <v>0.15</v>
      </c>
      <c r="D9" s="31"/>
      <c r="E9" s="31">
        <v>12</v>
      </c>
      <c r="F9" s="32">
        <f t="shared" si="0"/>
        <v>0.75</v>
      </c>
      <c r="G9" s="33">
        <f>IFERROR(VLOOKUP(B9,'MP Pan'!$A$6:$F$35,6,FALSE),0)</f>
        <v>7.666666666666667</v>
      </c>
      <c r="H9" s="33">
        <f t="shared" si="1"/>
        <v>5.75</v>
      </c>
      <c r="I9" s="32">
        <f t="shared" si="2"/>
        <v>6.030150753768844E-2</v>
      </c>
      <c r="J9" s="34">
        <f t="shared" si="3"/>
        <v>8.3333333333333332E-3</v>
      </c>
      <c r="K9" s="81">
        <f t="shared" si="4"/>
        <v>3.9930555555555552E-3</v>
      </c>
      <c r="M9" s="95"/>
      <c r="N9" s="95"/>
      <c r="O9" s="35"/>
    </row>
    <row r="10" spans="2:15" x14ac:dyDescent="0.25">
      <c r="B10" s="53" t="s">
        <v>12</v>
      </c>
      <c r="C10" s="30">
        <f t="shared" si="5"/>
        <v>0.85</v>
      </c>
      <c r="D10" s="31">
        <v>4</v>
      </c>
      <c r="E10" s="31">
        <v>4</v>
      </c>
      <c r="F10" s="32">
        <f t="shared" si="0"/>
        <v>4.25</v>
      </c>
      <c r="G10" s="33">
        <f>IFERROR(VLOOKUP(B10,'MP Pan'!$A$6:$F$35,6,FALSE),0)</f>
        <v>0.5</v>
      </c>
      <c r="H10" s="33">
        <f t="shared" si="1"/>
        <v>2.125</v>
      </c>
      <c r="I10" s="32">
        <f t="shared" si="2"/>
        <v>0.34170854271356782</v>
      </c>
      <c r="J10" s="34">
        <f t="shared" si="3"/>
        <v>4.7222222222222221E-2</v>
      </c>
      <c r="K10" s="81">
        <f t="shared" si="4"/>
        <v>1.4756944444444444E-3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81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81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82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10</v>
      </c>
      <c r="E14" s="75">
        <f t="shared" si="6"/>
        <v>39</v>
      </c>
      <c r="F14" s="75">
        <f t="shared" si="6"/>
        <v>12.4375</v>
      </c>
      <c r="G14" s="76">
        <f t="shared" si="6"/>
        <v>33.116666666666667</v>
      </c>
      <c r="H14" s="76">
        <f t="shared" si="6"/>
        <v>32.525000000000006</v>
      </c>
      <c r="I14" s="75">
        <f t="shared" si="6"/>
        <v>1.0000000000000002</v>
      </c>
      <c r="J14" s="77">
        <f>$D$20*I14</f>
        <v>0.13819444444444448</v>
      </c>
      <c r="K14" s="83">
        <f>SUM(K4:K13)</f>
        <v>2.2586805555555561E-2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f>24*60</f>
        <v>1440</v>
      </c>
      <c r="E16" s="27" t="str">
        <f>_xlfn.CONCAT("Pan ",B2,)</f>
        <v>Pan Manteca 5 libras</v>
      </c>
      <c r="F16" s="25"/>
      <c r="G16" s="52" t="s">
        <v>56</v>
      </c>
      <c r="H16" s="49">
        <f>D16*30</f>
        <v>43200</v>
      </c>
      <c r="I16" s="35"/>
      <c r="J16" s="35">
        <f>K14*60</f>
        <v>1.3552083333333336</v>
      </c>
    </row>
    <row r="17" spans="3:9" ht="15.75" thickBot="1" x14ac:dyDescent="0.3">
      <c r="C17" s="39" t="s">
        <v>54</v>
      </c>
      <c r="D17" s="40">
        <v>0.25</v>
      </c>
      <c r="E17" s="35"/>
      <c r="F17" s="25"/>
      <c r="G17" s="46" t="s">
        <v>57</v>
      </c>
      <c r="H17" s="47">
        <f>H16*D17</f>
        <v>10800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199</v>
      </c>
    </row>
    <row r="20" spans="3:9" ht="15.75" thickBot="1" x14ac:dyDescent="0.3">
      <c r="C20" s="50" t="s">
        <v>68</v>
      </c>
      <c r="D20" s="51">
        <f>D19/D16</f>
        <v>0.13819444444444445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44.234000000000009</v>
      </c>
    </row>
    <row r="23" spans="3:9" x14ac:dyDescent="0.25">
      <c r="C23" s="44" t="s">
        <v>70</v>
      </c>
      <c r="D23" s="39"/>
      <c r="E23" s="45">
        <f>D17*D16</f>
        <v>360</v>
      </c>
      <c r="F23" s="35"/>
    </row>
    <row r="24" spans="3:9" x14ac:dyDescent="0.25">
      <c r="C24" s="44" t="s">
        <v>66</v>
      </c>
      <c r="D24" s="39"/>
      <c r="E24" s="45">
        <f>E23-E22</f>
        <v>315.76599999999996</v>
      </c>
    </row>
    <row r="25" spans="3:9" ht="15.75" thickBot="1" x14ac:dyDescent="0.3">
      <c r="C25" s="90" t="s">
        <v>72</v>
      </c>
      <c r="D25" s="91"/>
      <c r="E25" s="79">
        <f>E24/E22</f>
        <v>7.1385359678075666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2CD0-14B0-4080-8A52-7BC6E636D33A}">
  <sheetPr codeName="Sheet13"/>
  <dimension ref="B1:O25"/>
  <sheetViews>
    <sheetView topLeftCell="B1" workbookViewId="0">
      <selection activeCell="E23" sqref="E23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73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6</v>
      </c>
      <c r="C4" s="56">
        <v>1</v>
      </c>
      <c r="D4" s="57">
        <v>8</v>
      </c>
      <c r="E4" s="57"/>
      <c r="F4" s="58">
        <f>IFERROR(D4+E4/16,"")</f>
        <v>8</v>
      </c>
      <c r="G4" s="59">
        <f>IFERROR(VLOOKUP(B4,'MP Pan'!$A$6:$F$35,6,FALSE),0)</f>
        <v>2.85</v>
      </c>
      <c r="H4" s="59">
        <f>F4*G4</f>
        <v>22.8</v>
      </c>
      <c r="I4" s="58">
        <f>F4/$F$14</f>
        <v>0.52459016393442626</v>
      </c>
      <c r="J4" s="60">
        <f>$D$20*I4</f>
        <v>0.41290322580645167</v>
      </c>
      <c r="K4" s="61">
        <f>(G4/16)*J4</f>
        <v>7.3548387096774206E-2</v>
      </c>
      <c r="L4" s="35"/>
    </row>
    <row r="5" spans="2:15" x14ac:dyDescent="0.25">
      <c r="B5" s="53" t="s">
        <v>7</v>
      </c>
      <c r="C5" s="30">
        <f>IFERROR(($C$4*F5)/$D$4,"")</f>
        <v>0.265625</v>
      </c>
      <c r="D5" s="31">
        <v>2</v>
      </c>
      <c r="E5" s="31">
        <v>2</v>
      </c>
      <c r="F5" s="32">
        <f t="shared" ref="F5:F12" si="0">IFERROR(D5+E5/16,"")</f>
        <v>2.125</v>
      </c>
      <c r="G5" s="33">
        <f>IFERROR(VLOOKUP(B5,'MP Pan'!$A$6:$F$35,6,FALSE),0)</f>
        <v>4.5</v>
      </c>
      <c r="H5" s="33">
        <f t="shared" ref="H5:H13" si="1">F5*G5</f>
        <v>9.5625</v>
      </c>
      <c r="I5" s="32">
        <f t="shared" ref="I5:I13" si="2">F5/$F$14</f>
        <v>0.13934426229508196</v>
      </c>
      <c r="J5" s="34">
        <f t="shared" ref="J5:J13" si="3">$D$20*I5</f>
        <v>0.1096774193548387</v>
      </c>
      <c r="K5" s="54">
        <f t="shared" ref="K5:K13" si="4">(G5/16)*J5</f>
        <v>3.0846774193548383E-2</v>
      </c>
      <c r="L5" s="35"/>
      <c r="N5" s="35"/>
      <c r="O5" s="35"/>
    </row>
    <row r="6" spans="2:15" x14ac:dyDescent="0.25">
      <c r="B6" s="53" t="s">
        <v>8</v>
      </c>
      <c r="C6" s="30">
        <f t="shared" ref="C6:C13" si="5">IFERROR(($C$4*F6)/$D$4,"")</f>
        <v>3.125E-2</v>
      </c>
      <c r="D6" s="31"/>
      <c r="E6" s="31">
        <v>4</v>
      </c>
      <c r="F6" s="32">
        <f t="shared" si="0"/>
        <v>0.25</v>
      </c>
      <c r="G6" s="33">
        <f>IFERROR(VLOOKUP(B6,'MP Pan'!$A$6:$F$35,6,FALSE),0)</f>
        <v>11.5</v>
      </c>
      <c r="H6" s="33">
        <f t="shared" si="1"/>
        <v>2.875</v>
      </c>
      <c r="I6" s="32">
        <f t="shared" si="2"/>
        <v>1.6393442622950821E-2</v>
      </c>
      <c r="J6" s="34">
        <f t="shared" si="3"/>
        <v>1.2903225806451615E-2</v>
      </c>
      <c r="K6" s="54">
        <f t="shared" si="4"/>
        <v>9.2741935483870979E-3</v>
      </c>
      <c r="L6" s="35"/>
      <c r="O6" s="35"/>
    </row>
    <row r="7" spans="2:15" x14ac:dyDescent="0.25">
      <c r="B7" s="53" t="s">
        <v>9</v>
      </c>
      <c r="C7" s="30">
        <f t="shared" si="5"/>
        <v>4.6875E-2</v>
      </c>
      <c r="D7" s="31"/>
      <c r="E7" s="31">
        <v>6</v>
      </c>
      <c r="F7" s="32">
        <f t="shared" ref="F7:F8" si="6">IFERROR(D7+E7/16,"")</f>
        <v>0.375</v>
      </c>
      <c r="G7" s="33">
        <f>IFERROR(VLOOKUP(B7,'MP Pan'!$A$6:$F$35,6,FALSE),0)</f>
        <v>4.5999999999999996</v>
      </c>
      <c r="H7" s="33">
        <f t="shared" ref="H7:H8" si="7">F7*G7</f>
        <v>1.7249999999999999</v>
      </c>
      <c r="I7" s="32">
        <f t="shared" ref="I7:I8" si="8">F7/$F$14</f>
        <v>2.4590163934426229E-2</v>
      </c>
      <c r="J7" s="34">
        <f t="shared" si="3"/>
        <v>1.935483870967742E-2</v>
      </c>
      <c r="K7" s="54">
        <f t="shared" ref="K7:K8" si="9">(G7/16)*J7</f>
        <v>5.5645161290322582E-3</v>
      </c>
      <c r="N7" s="35"/>
      <c r="O7" s="35"/>
    </row>
    <row r="8" spans="2:15" x14ac:dyDescent="0.25">
      <c r="B8" s="53" t="s">
        <v>10</v>
      </c>
      <c r="C8" s="30">
        <f t="shared" si="5"/>
        <v>7.8125E-3</v>
      </c>
      <c r="D8" s="31"/>
      <c r="E8" s="31">
        <v>1</v>
      </c>
      <c r="F8" s="32">
        <f t="shared" si="6"/>
        <v>6.25E-2</v>
      </c>
      <c r="G8" s="33">
        <f>IFERROR(VLOOKUP(B8,'MP Pan'!$A$6:$F$35,6,FALSE),0)</f>
        <v>1.5</v>
      </c>
      <c r="H8" s="33">
        <f t="shared" si="7"/>
        <v>9.375E-2</v>
      </c>
      <c r="I8" s="32">
        <f t="shared" si="8"/>
        <v>4.0983606557377051E-3</v>
      </c>
      <c r="J8" s="34">
        <f t="shared" si="3"/>
        <v>3.2258064516129037E-3</v>
      </c>
      <c r="K8" s="54">
        <f t="shared" si="9"/>
        <v>3.0241935483870969E-4</v>
      </c>
      <c r="M8" s="95"/>
      <c r="N8" s="95"/>
      <c r="O8" s="35"/>
    </row>
    <row r="9" spans="2:15" x14ac:dyDescent="0.25">
      <c r="B9" s="53" t="s">
        <v>11</v>
      </c>
      <c r="C9" s="30">
        <f t="shared" si="5"/>
        <v>0.1484375</v>
      </c>
      <c r="D9" s="31">
        <v>1</v>
      </c>
      <c r="E9" s="31">
        <v>3</v>
      </c>
      <c r="F9" s="32">
        <f t="shared" si="0"/>
        <v>1.1875</v>
      </c>
      <c r="G9" s="33">
        <f>IFERROR(VLOOKUP(B9,'MP Pan'!$A$6:$F$35,6,FALSE),0)</f>
        <v>7.666666666666667</v>
      </c>
      <c r="H9" s="33">
        <f t="shared" si="1"/>
        <v>9.1041666666666679</v>
      </c>
      <c r="I9" s="32">
        <f t="shared" si="2"/>
        <v>7.7868852459016397E-2</v>
      </c>
      <c r="J9" s="34">
        <f t="shared" si="3"/>
        <v>6.1290322580645165E-2</v>
      </c>
      <c r="K9" s="54">
        <f t="shared" si="4"/>
        <v>2.9368279569892478E-2</v>
      </c>
      <c r="M9" s="95"/>
      <c r="N9" s="95"/>
      <c r="O9" s="35"/>
    </row>
    <row r="10" spans="2:15" x14ac:dyDescent="0.25">
      <c r="B10" s="53" t="s">
        <v>12</v>
      </c>
      <c r="C10" s="30">
        <f t="shared" si="5"/>
        <v>0.40625</v>
      </c>
      <c r="D10" s="31">
        <v>3</v>
      </c>
      <c r="E10" s="31">
        <v>4</v>
      </c>
      <c r="F10" s="32">
        <f t="shared" si="0"/>
        <v>3.25</v>
      </c>
      <c r="G10" s="33">
        <f>IFERROR(VLOOKUP(B10,'MP Pan'!$A$6:$F$35,6,FALSE),0)</f>
        <v>0.5</v>
      </c>
      <c r="H10" s="33">
        <f t="shared" si="1"/>
        <v>1.625</v>
      </c>
      <c r="I10" s="32">
        <f t="shared" si="2"/>
        <v>0.21311475409836064</v>
      </c>
      <c r="J10" s="34">
        <f t="shared" si="3"/>
        <v>0.16774193548387095</v>
      </c>
      <c r="K10" s="54">
        <f t="shared" si="4"/>
        <v>5.2419354838709672E-3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10">SUM(D4:D13)</f>
        <v>14</v>
      </c>
      <c r="E14" s="75">
        <f t="shared" si="10"/>
        <v>20</v>
      </c>
      <c r="F14" s="75">
        <f t="shared" si="10"/>
        <v>15.25</v>
      </c>
      <c r="G14" s="76">
        <f t="shared" si="10"/>
        <v>33.116666666666667</v>
      </c>
      <c r="H14" s="76">
        <f t="shared" si="10"/>
        <v>47.785416666666663</v>
      </c>
      <c r="I14" s="75">
        <f t="shared" si="10"/>
        <v>1</v>
      </c>
      <c r="J14" s="77">
        <f>$D$20*I14</f>
        <v>0.7870967741935484</v>
      </c>
      <c r="K14" s="78">
        <f>SUM(K4:K13)</f>
        <v>0.15414650537634411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310</v>
      </c>
      <c r="E16" s="27" t="str">
        <f>_xlfn.CONCAT("Pan ",B2,)</f>
        <v>Pan Manteca 5 libras</v>
      </c>
      <c r="F16" s="25"/>
      <c r="G16" s="52" t="s">
        <v>56</v>
      </c>
      <c r="H16" s="49">
        <f>D16*30</f>
        <v>9300</v>
      </c>
      <c r="I16" s="35"/>
    </row>
    <row r="17" spans="3:9" ht="15.75" thickBot="1" x14ac:dyDescent="0.3">
      <c r="C17" s="39" t="s">
        <v>54</v>
      </c>
      <c r="D17" s="40">
        <v>0.33</v>
      </c>
      <c r="E17" s="35"/>
      <c r="F17" s="25"/>
      <c r="G17" s="46" t="s">
        <v>57</v>
      </c>
      <c r="H17" s="47">
        <f>H16*D17</f>
        <v>3069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244</v>
      </c>
    </row>
    <row r="20" spans="3:9" ht="15.75" thickBot="1" x14ac:dyDescent="0.3">
      <c r="C20" s="50" t="s">
        <v>68</v>
      </c>
      <c r="D20" s="51">
        <f>D19/D16</f>
        <v>0.7870967741935484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64.988166666666672</v>
      </c>
    </row>
    <row r="23" spans="3:9" x14ac:dyDescent="0.25">
      <c r="C23" s="44" t="s">
        <v>70</v>
      </c>
      <c r="D23" s="39"/>
      <c r="E23" s="45">
        <f>D17*D16</f>
        <v>102.30000000000001</v>
      </c>
    </row>
    <row r="24" spans="3:9" x14ac:dyDescent="0.25">
      <c r="C24" s="44" t="s">
        <v>66</v>
      </c>
      <c r="D24" s="39"/>
      <c r="E24" s="45">
        <f>E23-E22</f>
        <v>37.31183333333334</v>
      </c>
    </row>
    <row r="25" spans="3:9" ht="15.75" thickBot="1" x14ac:dyDescent="0.3">
      <c r="C25" s="90" t="s">
        <v>72</v>
      </c>
      <c r="D25" s="91"/>
      <c r="E25" s="79">
        <f>E24/E22</f>
        <v>0.57413272672717341</v>
      </c>
      <c r="G25" s="35"/>
    </row>
  </sheetData>
  <mergeCells count="7">
    <mergeCell ref="B14:C14"/>
    <mergeCell ref="M14:N14"/>
    <mergeCell ref="C25:D25"/>
    <mergeCell ref="B2:K2"/>
    <mergeCell ref="M8:N8"/>
    <mergeCell ref="M9:N9"/>
    <mergeCell ref="M10:N10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4E3D-671E-4EA0-A99F-F687A80C5F51}">
  <sheetPr codeName="Sheet14"/>
  <dimension ref="B1:O25"/>
  <sheetViews>
    <sheetView workbookViewId="0">
      <selection activeCell="F18" sqref="F18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74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10</v>
      </c>
      <c r="E4" s="57"/>
      <c r="F4" s="58">
        <f>IFERROR(D4+E4/16,"")</f>
        <v>10</v>
      </c>
      <c r="G4" s="59">
        <f>IFERROR(VLOOKUP(B4,'MP Pan'!$A$6:$F$35,6,FALSE),0)</f>
        <v>2.85</v>
      </c>
      <c r="H4" s="59">
        <f>F4*G4</f>
        <v>28.5</v>
      </c>
      <c r="I4" s="58">
        <f>F4/$F$14</f>
        <v>0.61068702290076338</v>
      </c>
      <c r="J4" s="60">
        <f>$D$20*I4</f>
        <v>0.50314465408805031</v>
      </c>
      <c r="K4" s="61">
        <f>(G4/16)*J4</f>
        <v>8.962264150943397E-2</v>
      </c>
      <c r="L4" s="35"/>
    </row>
    <row r="5" spans="2:15" x14ac:dyDescent="0.25">
      <c r="B5" s="53" t="s">
        <v>8</v>
      </c>
      <c r="C5" s="30">
        <f>IFERROR(($C$4*F5)/$D$4,"")</f>
        <v>2.5000000000000001E-2</v>
      </c>
      <c r="D5" s="31"/>
      <c r="E5" s="31">
        <v>4</v>
      </c>
      <c r="F5" s="32">
        <f t="shared" ref="F5:F12" si="0">IFERROR(D5+E5/16,"")</f>
        <v>0.25</v>
      </c>
      <c r="G5" s="33">
        <f>IFERROR(VLOOKUP(B5,'MP Pan'!$A$6:$F$35,6,FALSE),0)</f>
        <v>11.5</v>
      </c>
      <c r="H5" s="33">
        <f t="shared" ref="H5:H13" si="1">F5*G5</f>
        <v>2.875</v>
      </c>
      <c r="I5" s="32">
        <f t="shared" ref="I5:I13" si="2">F5/$F$14</f>
        <v>1.5267175572519083E-2</v>
      </c>
      <c r="J5" s="34">
        <f t="shared" ref="J5:J13" si="3">$D$20*I5</f>
        <v>1.2578616352201259E-2</v>
      </c>
      <c r="K5" s="54">
        <f t="shared" ref="K5:K13" si="4">(G5/16)*J5</f>
        <v>9.0408805031446538E-3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1.2500000000000001E-2</v>
      </c>
      <c r="D6" s="31"/>
      <c r="E6" s="31">
        <v>2</v>
      </c>
      <c r="F6" s="32">
        <f t="shared" si="0"/>
        <v>0.125</v>
      </c>
      <c r="G6" s="33">
        <f>IFERROR(VLOOKUP(B6,'MP Pan'!$A$6:$F$35,6,FALSE),0)</f>
        <v>1.5</v>
      </c>
      <c r="H6" s="33">
        <f t="shared" si="1"/>
        <v>0.1875</v>
      </c>
      <c r="I6" s="32">
        <f t="shared" si="2"/>
        <v>7.6335877862595417E-3</v>
      </c>
      <c r="J6" s="34">
        <f t="shared" si="3"/>
        <v>6.2893081761006293E-3</v>
      </c>
      <c r="K6" s="54">
        <f t="shared" si="4"/>
        <v>5.8962264150943405E-4</v>
      </c>
      <c r="L6" s="35"/>
      <c r="O6" s="35"/>
    </row>
    <row r="7" spans="2:15" x14ac:dyDescent="0.25">
      <c r="B7" s="53" t="s">
        <v>7</v>
      </c>
      <c r="C7" s="30">
        <f t="shared" si="5"/>
        <v>2.5000000000000001E-2</v>
      </c>
      <c r="D7" s="31"/>
      <c r="E7" s="31">
        <v>4</v>
      </c>
      <c r="F7" s="32">
        <f t="shared" si="0"/>
        <v>0.25</v>
      </c>
      <c r="G7" s="33">
        <f>IFERROR(VLOOKUP(B7,'MP Pan'!$A$6:$F$35,6,FALSE),0)</f>
        <v>4.5</v>
      </c>
      <c r="H7" s="33">
        <f t="shared" si="1"/>
        <v>1.125</v>
      </c>
      <c r="I7" s="32">
        <f t="shared" si="2"/>
        <v>1.5267175572519083E-2</v>
      </c>
      <c r="J7" s="34">
        <f t="shared" si="3"/>
        <v>1.2578616352201259E-2</v>
      </c>
      <c r="K7" s="54">
        <f t="shared" si="4"/>
        <v>3.5377358490566039E-3</v>
      </c>
      <c r="N7" s="35"/>
      <c r="O7" s="35"/>
    </row>
    <row r="8" spans="2:15" x14ac:dyDescent="0.25">
      <c r="B8" s="53" t="s">
        <v>11</v>
      </c>
      <c r="C8" s="30">
        <f t="shared" si="5"/>
        <v>0.05</v>
      </c>
      <c r="D8" s="31"/>
      <c r="E8" s="31">
        <v>8</v>
      </c>
      <c r="F8" s="32">
        <f t="shared" si="0"/>
        <v>0.5</v>
      </c>
      <c r="G8" s="33">
        <f>IFERROR(VLOOKUP(B8,'MP Pan'!$A$6:$F$35,6,FALSE),0)</f>
        <v>7.666666666666667</v>
      </c>
      <c r="H8" s="33">
        <f t="shared" si="1"/>
        <v>3.8333333333333335</v>
      </c>
      <c r="I8" s="32">
        <f t="shared" si="2"/>
        <v>3.0534351145038167E-2</v>
      </c>
      <c r="J8" s="34">
        <f t="shared" si="3"/>
        <v>2.5157232704402517E-2</v>
      </c>
      <c r="K8" s="54">
        <f t="shared" si="4"/>
        <v>1.2054507337526207E-2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0.52500000000000002</v>
      </c>
      <c r="D9" s="31">
        <v>5</v>
      </c>
      <c r="E9" s="31">
        <v>4</v>
      </c>
      <c r="F9" s="32">
        <f t="shared" si="0"/>
        <v>5.25</v>
      </c>
      <c r="G9" s="33">
        <f>IFERROR(VLOOKUP(B9,'MP Pan'!$A$6:$F$35,6,FALSE),0)</f>
        <v>0.5</v>
      </c>
      <c r="H9" s="33">
        <f t="shared" si="1"/>
        <v>2.625</v>
      </c>
      <c r="I9" s="32">
        <f t="shared" si="2"/>
        <v>0.32061068702290074</v>
      </c>
      <c r="J9" s="34">
        <f t="shared" si="3"/>
        <v>0.26415094339622641</v>
      </c>
      <c r="K9" s="54">
        <f t="shared" si="4"/>
        <v>8.2547169811320754E-3</v>
      </c>
      <c r="M9" s="95"/>
      <c r="N9" s="95"/>
      <c r="O9" s="35"/>
    </row>
    <row r="10" spans="2:15" x14ac:dyDescent="0.25">
      <c r="B10" s="53"/>
      <c r="C10" s="30">
        <f t="shared" si="5"/>
        <v>0</v>
      </c>
      <c r="D10" s="31"/>
      <c r="E10" s="31"/>
      <c r="F10" s="32">
        <f t="shared" si="0"/>
        <v>0</v>
      </c>
      <c r="G10" s="33">
        <f>IFERROR(VLOOKUP(B10,'MP Pan'!$A$6:$F$35,6,FALSE),0)</f>
        <v>0</v>
      </c>
      <c r="H10" s="33">
        <f t="shared" si="1"/>
        <v>0</v>
      </c>
      <c r="I10" s="32">
        <f t="shared" si="2"/>
        <v>0</v>
      </c>
      <c r="J10" s="34">
        <f t="shared" si="3"/>
        <v>0</v>
      </c>
      <c r="K10" s="54">
        <f t="shared" si="4"/>
        <v>0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15</v>
      </c>
      <c r="E14" s="75">
        <f t="shared" si="6"/>
        <v>22</v>
      </c>
      <c r="F14" s="75">
        <f t="shared" si="6"/>
        <v>16.375</v>
      </c>
      <c r="G14" s="76">
        <f t="shared" si="6"/>
        <v>28.516666666666669</v>
      </c>
      <c r="H14" s="76">
        <f t="shared" si="6"/>
        <v>39.145833333333336</v>
      </c>
      <c r="I14" s="75">
        <f t="shared" si="6"/>
        <v>1</v>
      </c>
      <c r="J14" s="77">
        <f>$D$20*I14</f>
        <v>0.82389937106918243</v>
      </c>
      <c r="K14" s="78">
        <f>SUM(K4:K13)</f>
        <v>0.12310010482180295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318</v>
      </c>
      <c r="E16" s="27" t="str">
        <f>_xlfn.CONCAT("Pan ",B2,)</f>
        <v>Pan Frances 10 Libras</v>
      </c>
      <c r="F16" s="25"/>
      <c r="G16" s="52" t="s">
        <v>56</v>
      </c>
      <c r="H16" s="49">
        <f>D16*30</f>
        <v>9540</v>
      </c>
      <c r="I16" s="35"/>
    </row>
    <row r="17" spans="3:9" ht="15.75" thickBot="1" x14ac:dyDescent="0.3">
      <c r="C17" s="39" t="s">
        <v>54</v>
      </c>
      <c r="D17" s="40">
        <v>0.375</v>
      </c>
      <c r="E17" s="35"/>
      <c r="F17" s="25"/>
      <c r="G17" s="46" t="s">
        <v>57</v>
      </c>
      <c r="H17" s="47">
        <f>H16*D17</f>
        <v>3577.5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262</v>
      </c>
    </row>
    <row r="20" spans="3:9" ht="15.75" thickBot="1" x14ac:dyDescent="0.3">
      <c r="C20" s="50" t="s">
        <v>68</v>
      </c>
      <c r="D20" s="51">
        <f>D19/D16</f>
        <v>0.82389937106918243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53.238333333333337</v>
      </c>
    </row>
    <row r="23" spans="3:9" x14ac:dyDescent="0.25">
      <c r="C23" s="44" t="s">
        <v>70</v>
      </c>
      <c r="D23" s="39"/>
      <c r="E23" s="45">
        <f>D17*D16</f>
        <v>119.25</v>
      </c>
    </row>
    <row r="24" spans="3:9" x14ac:dyDescent="0.25">
      <c r="C24" s="44" t="s">
        <v>66</v>
      </c>
      <c r="D24" s="39"/>
      <c r="E24" s="45">
        <f>E23-E22</f>
        <v>66.011666666666656</v>
      </c>
    </row>
    <row r="25" spans="3:9" ht="15.75" thickBot="1" x14ac:dyDescent="0.3">
      <c r="C25" s="90" t="s">
        <v>72</v>
      </c>
      <c r="D25" s="91"/>
      <c r="E25" s="79">
        <f>E24/E22</f>
        <v>1.2399273706289324</v>
      </c>
      <c r="G25" s="35"/>
    </row>
  </sheetData>
  <mergeCells count="7">
    <mergeCell ref="B14:C14"/>
    <mergeCell ref="M14:N14"/>
    <mergeCell ref="C25:D25"/>
    <mergeCell ref="B2:K2"/>
    <mergeCell ref="M8:N8"/>
    <mergeCell ref="M9:N9"/>
    <mergeCell ref="M10:N10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DD81-7ECB-4888-9F21-971C4A94AAFD}">
  <sheetPr codeName="Sheet15"/>
  <dimension ref="B1:O25"/>
  <sheetViews>
    <sheetView workbookViewId="0">
      <selection activeCell="N12" sqref="N12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111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83</v>
      </c>
      <c r="C4" s="56">
        <v>1</v>
      </c>
      <c r="D4" s="57">
        <v>15</v>
      </c>
      <c r="E4" s="57"/>
      <c r="F4" s="58">
        <f>IFERROR(D4+E4/16,"")</f>
        <v>15</v>
      </c>
      <c r="G4" s="59">
        <f>IFERROR(VLOOKUP(B4,'MP Pan'!$A$6:$F$35,6,FALSE),0)</f>
        <v>1.5</v>
      </c>
      <c r="H4" s="59">
        <f>F4*G4</f>
        <v>22.5</v>
      </c>
      <c r="I4" s="58">
        <f>F4/$F$14</f>
        <v>0.86004242875981884</v>
      </c>
      <c r="J4" s="60">
        <f>$D$20*I4</f>
        <v>11.428571428571427</v>
      </c>
      <c r="K4" s="61">
        <f>(G4/16)*J4</f>
        <v>1.0714285714285712</v>
      </c>
      <c r="L4" s="35"/>
    </row>
    <row r="5" spans="2:15" x14ac:dyDescent="0.25">
      <c r="B5" s="53" t="s">
        <v>84</v>
      </c>
      <c r="C5" s="30">
        <f>IFERROR(($C$4*F5)/$D$4,"")</f>
        <v>6.6666666666666666E-2</v>
      </c>
      <c r="D5" s="31">
        <v>1</v>
      </c>
      <c r="E5" s="31"/>
      <c r="F5" s="32">
        <f t="shared" ref="F5:F12" si="0">IFERROR(D5+E5/16,"")</f>
        <v>1</v>
      </c>
      <c r="G5" s="33">
        <f>IFERROR(VLOOKUP(B5,'MP Pan'!$A$6:$F$35,6,FALSE),0)</f>
        <v>2.85</v>
      </c>
      <c r="H5" s="33">
        <f t="shared" ref="H5:H13" si="1">F5*G5</f>
        <v>2.85</v>
      </c>
      <c r="I5" s="32">
        <f t="shared" ref="I5:I13" si="2">F5/$F$14</f>
        <v>5.7336161917321257E-2</v>
      </c>
      <c r="J5" s="34">
        <f t="shared" ref="J5:J13" si="3">$D$20*I5</f>
        <v>0.76190476190476186</v>
      </c>
      <c r="K5" s="54">
        <f t="shared" ref="K5:K13" si="4">(G5/16)*J5</f>
        <v>0.1357142857142857</v>
      </c>
      <c r="L5" s="35"/>
      <c r="N5" s="35"/>
      <c r="O5" s="35"/>
    </row>
    <row r="6" spans="2:15" x14ac:dyDescent="0.25">
      <c r="B6" s="53" t="s">
        <v>85</v>
      </c>
      <c r="C6" s="30">
        <f t="shared" ref="C6:C13" si="5">IFERROR(($C$4*F6)/$D$4,"")</f>
        <v>4.1666666666666666E-3</v>
      </c>
      <c r="D6" s="31"/>
      <c r="E6" s="31">
        <v>1</v>
      </c>
      <c r="F6" s="32">
        <f t="shared" si="0"/>
        <v>6.25E-2</v>
      </c>
      <c r="G6" s="33">
        <f>IFERROR(VLOOKUP(B6,'MP Pan'!$A$6:$F$35,6,FALSE),0)</f>
        <v>4</v>
      </c>
      <c r="H6" s="33">
        <f t="shared" si="1"/>
        <v>0.25</v>
      </c>
      <c r="I6" s="32">
        <f t="shared" si="2"/>
        <v>3.5835101198325786E-3</v>
      </c>
      <c r="J6" s="34">
        <f t="shared" si="3"/>
        <v>4.7619047619047616E-2</v>
      </c>
      <c r="K6" s="54">
        <f t="shared" si="4"/>
        <v>1.1904761904761904E-2</v>
      </c>
      <c r="L6" s="35"/>
      <c r="O6" s="35"/>
    </row>
    <row r="7" spans="2:15" x14ac:dyDescent="0.25">
      <c r="B7" s="53" t="s">
        <v>86</v>
      </c>
      <c r="C7" s="30">
        <f t="shared" si="5"/>
        <v>4.4000000000000003E-3</v>
      </c>
      <c r="D7" s="31">
        <v>6.6000000000000003E-2</v>
      </c>
      <c r="E7" s="31"/>
      <c r="F7" s="32">
        <f t="shared" si="0"/>
        <v>6.6000000000000003E-2</v>
      </c>
      <c r="G7" s="33">
        <f>IFERROR(VLOOKUP(B7,'MP Pan'!$A$6:$F$35,6,FALSE),0)</f>
        <v>14</v>
      </c>
      <c r="H7" s="33">
        <f t="shared" si="1"/>
        <v>0.92400000000000004</v>
      </c>
      <c r="I7" s="32">
        <f t="shared" si="2"/>
        <v>3.7841866865432031E-3</v>
      </c>
      <c r="J7" s="34">
        <f t="shared" si="3"/>
        <v>5.0285714285714288E-2</v>
      </c>
      <c r="K7" s="54">
        <f t="shared" si="4"/>
        <v>4.4000000000000004E-2</v>
      </c>
      <c r="N7" s="35"/>
      <c r="O7" s="35"/>
    </row>
    <row r="8" spans="2:15" x14ac:dyDescent="0.25">
      <c r="B8" s="53" t="s">
        <v>87</v>
      </c>
      <c r="C8" s="30">
        <f t="shared" si="5"/>
        <v>8.3333333333333332E-3</v>
      </c>
      <c r="D8" s="31"/>
      <c r="E8" s="31">
        <v>2</v>
      </c>
      <c r="F8" s="32">
        <f t="shared" si="0"/>
        <v>0.125</v>
      </c>
      <c r="G8" s="33">
        <f>IFERROR(VLOOKUP(B8,'MP Pan'!$A$6:$F$35,6,FALSE),0)</f>
        <v>4.5999999999999996</v>
      </c>
      <c r="H8" s="33">
        <f t="shared" si="1"/>
        <v>0.57499999999999996</v>
      </c>
      <c r="I8" s="32">
        <f t="shared" si="2"/>
        <v>7.1670202396651572E-3</v>
      </c>
      <c r="J8" s="34">
        <f t="shared" si="3"/>
        <v>9.5238095238095233E-2</v>
      </c>
      <c r="K8" s="54">
        <f t="shared" si="4"/>
        <v>2.7380952380952377E-2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</v>
      </c>
      <c r="D9" s="31"/>
      <c r="E9" s="31"/>
      <c r="F9" s="32">
        <f t="shared" si="0"/>
        <v>0</v>
      </c>
      <c r="G9" s="33">
        <f>IFERROR(VLOOKUP(B9,'MP Pan'!$A$6:$F$35,6,FALSE),0)</f>
        <v>0.5</v>
      </c>
      <c r="H9" s="33">
        <f t="shared" si="1"/>
        <v>0</v>
      </c>
      <c r="I9" s="32">
        <f t="shared" si="2"/>
        <v>0</v>
      </c>
      <c r="J9" s="34">
        <f t="shared" si="3"/>
        <v>0</v>
      </c>
      <c r="K9" s="54">
        <f t="shared" si="4"/>
        <v>0</v>
      </c>
      <c r="M9" s="95"/>
      <c r="N9" s="95"/>
      <c r="O9" s="35"/>
    </row>
    <row r="10" spans="2:15" x14ac:dyDescent="0.25">
      <c r="B10" s="53" t="s">
        <v>92</v>
      </c>
      <c r="C10" s="30">
        <f t="shared" si="5"/>
        <v>5.8333333333333334E-2</v>
      </c>
      <c r="D10" s="31"/>
      <c r="E10" s="31">
        <v>14</v>
      </c>
      <c r="F10" s="32">
        <f t="shared" si="0"/>
        <v>0.875</v>
      </c>
      <c r="G10" s="33">
        <f>IFERROR(VLOOKUP(B10,'MP Pan'!$A$6:$F$35,6,FALSE),0)</f>
        <v>0.8571428571428571</v>
      </c>
      <c r="H10" s="33">
        <f t="shared" si="1"/>
        <v>0.75</v>
      </c>
      <c r="I10" s="32">
        <f t="shared" si="2"/>
        <v>5.0169141677656098E-2</v>
      </c>
      <c r="J10" s="34">
        <f t="shared" si="3"/>
        <v>0.66666666666666663</v>
      </c>
      <c r="K10" s="54">
        <f t="shared" si="4"/>
        <v>3.5714285714285712E-2</v>
      </c>
      <c r="M10" s="95"/>
      <c r="N10" s="95"/>
      <c r="O10" s="35"/>
    </row>
    <row r="11" spans="2:15" x14ac:dyDescent="0.25">
      <c r="B11" s="53" t="s">
        <v>95</v>
      </c>
      <c r="C11" s="30">
        <f>IFERROR(($C$4*F11)/$D$4,"")</f>
        <v>2.0833333333333332E-2</v>
      </c>
      <c r="D11" s="31"/>
      <c r="E11" s="31">
        <v>5</v>
      </c>
      <c r="F11" s="32">
        <f t="shared" si="0"/>
        <v>0.3125</v>
      </c>
      <c r="G11" s="33">
        <f>IFERROR(VLOOKUP(B11,'MP Pan'!$A$6:$F$35,6,FALSE),0)</f>
        <v>0.71875</v>
      </c>
      <c r="H11" s="33">
        <f t="shared" si="1"/>
        <v>0.224609375</v>
      </c>
      <c r="I11" s="32">
        <f t="shared" si="2"/>
        <v>1.7917550599162894E-2</v>
      </c>
      <c r="J11" s="34">
        <f t="shared" si="3"/>
        <v>0.23809523809523808</v>
      </c>
      <c r="K11" s="54">
        <f t="shared" si="4"/>
        <v>1.0695684523809524E-2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16.065999999999999</v>
      </c>
      <c r="E14" s="75">
        <f t="shared" si="6"/>
        <v>22</v>
      </c>
      <c r="F14" s="75">
        <f t="shared" si="6"/>
        <v>17.440999999999999</v>
      </c>
      <c r="G14" s="76">
        <f t="shared" si="6"/>
        <v>29.02589285714286</v>
      </c>
      <c r="H14" s="76">
        <f t="shared" si="6"/>
        <v>28.073609375</v>
      </c>
      <c r="I14" s="75">
        <f t="shared" si="6"/>
        <v>1.0000000000000002</v>
      </c>
      <c r="J14" s="77">
        <f>$D$20*I14</f>
        <v>13.288380952380955</v>
      </c>
      <c r="K14" s="78">
        <f>SUM(K4:K13)</f>
        <v>1.3368385416666664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v>21</v>
      </c>
      <c r="E16" s="27" t="str">
        <f>_xlfn.CONCAT("Pan ",B2,)</f>
        <v>Pan Brazo Gitano</v>
      </c>
      <c r="F16" s="25"/>
      <c r="G16" s="52" t="s">
        <v>56</v>
      </c>
      <c r="H16" s="49">
        <f>D16*30</f>
        <v>630</v>
      </c>
      <c r="I16" s="35"/>
    </row>
    <row r="17" spans="3:9" ht="15.75" thickBot="1" x14ac:dyDescent="0.3">
      <c r="C17" s="39" t="s">
        <v>54</v>
      </c>
      <c r="D17" s="40">
        <v>4</v>
      </c>
      <c r="E17" s="35"/>
      <c r="F17" s="25"/>
      <c r="G17" s="46" t="s">
        <v>57</v>
      </c>
      <c r="H17" s="47">
        <f>H16*D17</f>
        <v>2520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279.05599999999998</v>
      </c>
    </row>
    <row r="20" spans="3:9" ht="15.75" thickBot="1" x14ac:dyDescent="0.3">
      <c r="C20" s="50" t="s">
        <v>68</v>
      </c>
      <c r="D20" s="51">
        <f>D19/D16</f>
        <v>13.288380952380951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28.073609375</v>
      </c>
    </row>
    <row r="23" spans="3:9" x14ac:dyDescent="0.25">
      <c r="C23" s="44" t="s">
        <v>70</v>
      </c>
      <c r="D23" s="39"/>
      <c r="E23" s="45">
        <f>D17*D16</f>
        <v>84</v>
      </c>
    </row>
    <row r="24" spans="3:9" x14ac:dyDescent="0.25">
      <c r="C24" s="44" t="s">
        <v>66</v>
      </c>
      <c r="D24" s="39"/>
      <c r="E24" s="45">
        <f>E23-E22</f>
        <v>55.926390624999996</v>
      </c>
    </row>
    <row r="25" spans="3:9" ht="15.75" thickBot="1" x14ac:dyDescent="0.3">
      <c r="C25" s="90" t="s">
        <v>72</v>
      </c>
      <c r="D25" s="91"/>
      <c r="E25" s="79">
        <f>E24/E22</f>
        <v>1.9921339603308488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5800-9D55-4042-BF06-9ED784DF49A6}">
  <sheetPr codeName="Sheet16"/>
  <dimension ref="B1:O25"/>
  <sheetViews>
    <sheetView topLeftCell="B1" workbookViewId="0">
      <selection activeCell="G24" sqref="G24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176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2.5</v>
      </c>
      <c r="E4" s="57"/>
      <c r="F4" s="58">
        <f>IFERROR(D4+E4/16,"")</f>
        <v>2.5</v>
      </c>
      <c r="G4" s="59">
        <f>IFERROR(VLOOKUP(B4,'MP Pan'!$A$6:$F$35,6,FALSE),0)</f>
        <v>2.85</v>
      </c>
      <c r="H4" s="59">
        <f>F4*G4</f>
        <v>7.125</v>
      </c>
      <c r="I4" s="58">
        <f>F4/$F$14</f>
        <v>0.46783625730994149</v>
      </c>
      <c r="J4" s="60">
        <f>$D$20*I4</f>
        <v>1.4814814814814814</v>
      </c>
      <c r="K4" s="61">
        <f>(G4/16)*J4</f>
        <v>0.2638888888888889</v>
      </c>
      <c r="L4" s="35"/>
    </row>
    <row r="5" spans="2:15" x14ac:dyDescent="0.25">
      <c r="B5" s="53" t="s">
        <v>8</v>
      </c>
      <c r="C5" s="30">
        <f>IFERROR(($C$4*F5)/$D$4,"")</f>
        <v>2.5000000000000001E-2</v>
      </c>
      <c r="D5" s="31"/>
      <c r="E5" s="31">
        <v>1</v>
      </c>
      <c r="F5" s="32">
        <f t="shared" ref="F5:F12" si="0">IFERROR(D5+E5/16,"")</f>
        <v>6.25E-2</v>
      </c>
      <c r="G5" s="33">
        <f>IFERROR(VLOOKUP(B5,'MP Pan'!$A$6:$F$35,6,FALSE),0)</f>
        <v>11.5</v>
      </c>
      <c r="H5" s="33">
        <f t="shared" ref="H5:H13" si="1">F5*G5</f>
        <v>0.71875</v>
      </c>
      <c r="I5" s="32">
        <f t="shared" ref="I5:I13" si="2">F5/$F$14</f>
        <v>1.1695906432748537E-2</v>
      </c>
      <c r="J5" s="34">
        <f t="shared" ref="J5:J13" si="3">$D$20*I5</f>
        <v>3.7037037037037035E-2</v>
      </c>
      <c r="K5" s="54">
        <f t="shared" ref="K5:K13" si="4">(G5/16)*J5</f>
        <v>2.6620370370370371E-2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1.2500000000000001E-2</v>
      </c>
      <c r="D6" s="31"/>
      <c r="E6" s="31">
        <v>0.5</v>
      </c>
      <c r="F6" s="32">
        <f t="shared" si="0"/>
        <v>3.125E-2</v>
      </c>
      <c r="G6" s="33">
        <f>IFERROR(VLOOKUP(B6,'MP Pan'!$A$6:$F$35,6,FALSE),0)</f>
        <v>1.5</v>
      </c>
      <c r="H6" s="33">
        <f t="shared" si="1"/>
        <v>4.6875E-2</v>
      </c>
      <c r="I6" s="32">
        <f t="shared" si="2"/>
        <v>5.8479532163742687E-3</v>
      </c>
      <c r="J6" s="34">
        <f t="shared" si="3"/>
        <v>1.8518518518518517E-2</v>
      </c>
      <c r="K6" s="54">
        <f t="shared" si="4"/>
        <v>1.736111111111111E-3</v>
      </c>
      <c r="L6" s="35"/>
      <c r="O6" s="35"/>
    </row>
    <row r="7" spans="2:15" x14ac:dyDescent="0.25">
      <c r="B7" s="53" t="s">
        <v>7</v>
      </c>
      <c r="C7" s="30">
        <f t="shared" si="5"/>
        <v>7.4999999999999997E-2</v>
      </c>
      <c r="D7" s="31"/>
      <c r="E7" s="31">
        <v>3</v>
      </c>
      <c r="F7" s="32">
        <f t="shared" si="0"/>
        <v>0.1875</v>
      </c>
      <c r="G7" s="33">
        <f>IFERROR(VLOOKUP(B7,'MP Pan'!$A$6:$F$35,6,FALSE),0)</f>
        <v>4.5</v>
      </c>
      <c r="H7" s="33">
        <f t="shared" si="1"/>
        <v>0.84375</v>
      </c>
      <c r="I7" s="32">
        <f t="shared" si="2"/>
        <v>3.5087719298245612E-2</v>
      </c>
      <c r="J7" s="34">
        <f t="shared" si="3"/>
        <v>0.1111111111111111</v>
      </c>
      <c r="K7" s="54">
        <f t="shared" si="4"/>
        <v>3.125E-2</v>
      </c>
      <c r="N7" s="35"/>
      <c r="O7" s="35"/>
    </row>
    <row r="8" spans="2:15" x14ac:dyDescent="0.25">
      <c r="B8" s="53" t="s">
        <v>11</v>
      </c>
      <c r="C8" s="30">
        <f t="shared" si="5"/>
        <v>0.1</v>
      </c>
      <c r="D8" s="31"/>
      <c r="E8" s="31">
        <v>4</v>
      </c>
      <c r="F8" s="32">
        <f t="shared" si="0"/>
        <v>0.25</v>
      </c>
      <c r="G8" s="33">
        <f>IFERROR(VLOOKUP(B8,'MP Pan'!$A$6:$F$35,6,FALSE),0)</f>
        <v>7.666666666666667</v>
      </c>
      <c r="H8" s="33">
        <f t="shared" si="1"/>
        <v>1.9166666666666667</v>
      </c>
      <c r="I8" s="32">
        <f t="shared" si="2"/>
        <v>4.6783625730994149E-2</v>
      </c>
      <c r="J8" s="34">
        <f t="shared" si="3"/>
        <v>0.14814814814814814</v>
      </c>
      <c r="K8" s="54">
        <f t="shared" si="4"/>
        <v>7.098765432098765E-2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0.9</v>
      </c>
      <c r="D9" s="31">
        <v>2</v>
      </c>
      <c r="E9" s="31">
        <v>4</v>
      </c>
      <c r="F9" s="32">
        <f t="shared" si="0"/>
        <v>2.25</v>
      </c>
      <c r="G9" s="33">
        <f>IFERROR(VLOOKUP(B9,'MP Pan'!$A$6:$F$35,6,FALSE),0)</f>
        <v>0.5</v>
      </c>
      <c r="H9" s="33">
        <f t="shared" si="1"/>
        <v>1.125</v>
      </c>
      <c r="I9" s="32">
        <f t="shared" si="2"/>
        <v>0.42105263157894735</v>
      </c>
      <c r="J9" s="34">
        <f t="shared" si="3"/>
        <v>1.3333333333333333</v>
      </c>
      <c r="K9" s="54">
        <f t="shared" si="4"/>
        <v>4.1666666666666664E-2</v>
      </c>
      <c r="M9" s="95"/>
      <c r="N9" s="95"/>
      <c r="O9" s="35"/>
    </row>
    <row r="10" spans="2:15" x14ac:dyDescent="0.25">
      <c r="B10" s="53" t="s">
        <v>86</v>
      </c>
      <c r="C10" s="30">
        <f t="shared" si="5"/>
        <v>2.5000000000000001E-2</v>
      </c>
      <c r="D10" s="31"/>
      <c r="E10" s="31">
        <v>1</v>
      </c>
      <c r="F10" s="32">
        <f t="shared" si="0"/>
        <v>6.25E-2</v>
      </c>
      <c r="G10" s="33">
        <f>IFERROR(VLOOKUP(B10,'MP Pan'!$A$6:$F$35,6,FALSE),0)</f>
        <v>14</v>
      </c>
      <c r="H10" s="33">
        <f t="shared" si="1"/>
        <v>0.875</v>
      </c>
      <c r="I10" s="32">
        <f t="shared" si="2"/>
        <v>1.1695906432748537E-2</v>
      </c>
      <c r="J10" s="34">
        <f t="shared" si="3"/>
        <v>3.7037037037037035E-2</v>
      </c>
      <c r="K10" s="54">
        <f t="shared" si="4"/>
        <v>3.2407407407407406E-2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4.5</v>
      </c>
      <c r="E14" s="75">
        <f t="shared" si="6"/>
        <v>13.5</v>
      </c>
      <c r="F14" s="75">
        <f t="shared" si="6"/>
        <v>5.34375</v>
      </c>
      <c r="G14" s="76">
        <f t="shared" si="6"/>
        <v>42.516666666666666</v>
      </c>
      <c r="H14" s="76">
        <f t="shared" si="6"/>
        <v>12.651041666666666</v>
      </c>
      <c r="I14" s="75">
        <f t="shared" si="6"/>
        <v>0.99999999999999989</v>
      </c>
      <c r="J14" s="77">
        <f>$D$20*I14</f>
        <v>3.1666666666666661</v>
      </c>
      <c r="K14" s="78">
        <f>SUM(K4:K13)</f>
        <v>0.46855709876543206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27</v>
      </c>
      <c r="E16" s="27" t="str">
        <f>_xlfn.CONCAT("Pan ",B2,)</f>
        <v>Pan Pan frances tipo torta</v>
      </c>
      <c r="F16" s="25"/>
      <c r="G16" s="52" t="s">
        <v>56</v>
      </c>
      <c r="H16" s="49">
        <f>D16*30</f>
        <v>810</v>
      </c>
      <c r="I16" s="35"/>
    </row>
    <row r="17" spans="3:9" ht="15.75" thickBot="1" x14ac:dyDescent="0.3">
      <c r="C17" s="39" t="s">
        <v>54</v>
      </c>
      <c r="D17" s="40">
        <v>0.375</v>
      </c>
      <c r="E17" s="35"/>
      <c r="F17" s="25"/>
      <c r="G17" s="46" t="s">
        <v>57</v>
      </c>
      <c r="H17" s="47">
        <f>H16*D17</f>
        <v>303.75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85.5</v>
      </c>
    </row>
    <row r="20" spans="3:9" ht="15.75" thickBot="1" x14ac:dyDescent="0.3">
      <c r="C20" s="50" t="s">
        <v>68</v>
      </c>
      <c r="D20" s="51">
        <f>D19/D16</f>
        <v>3.1666666666666665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12.651041666666666</v>
      </c>
    </row>
    <row r="23" spans="3:9" x14ac:dyDescent="0.25">
      <c r="C23" s="44" t="s">
        <v>70</v>
      </c>
      <c r="D23" s="39"/>
      <c r="E23" s="45">
        <f>D17*D16</f>
        <v>10.125</v>
      </c>
    </row>
    <row r="24" spans="3:9" x14ac:dyDescent="0.25">
      <c r="C24" s="44" t="s">
        <v>66</v>
      </c>
      <c r="D24" s="39"/>
      <c r="E24" s="45">
        <f>E23-E22</f>
        <v>-2.5260416666666661</v>
      </c>
    </row>
    <row r="25" spans="3:9" ht="15.75" thickBot="1" x14ac:dyDescent="0.3">
      <c r="C25" s="90" t="s">
        <v>72</v>
      </c>
      <c r="D25" s="91"/>
      <c r="E25" s="79">
        <f>E24/E22</f>
        <v>-0.19967064635652529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8877-6C33-4FAA-B5AC-B41D14F74C3A}">
  <sheetPr codeName="Sheet17"/>
  <dimension ref="B1:O25"/>
  <sheetViews>
    <sheetView workbookViewId="0">
      <selection activeCell="B2" sqref="B2:K2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82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75</v>
      </c>
      <c r="C4" s="56">
        <v>1</v>
      </c>
      <c r="D4" s="57">
        <v>4</v>
      </c>
      <c r="E4" s="57"/>
      <c r="F4" s="58">
        <f>IFERROR(D4+E4/16,"")</f>
        <v>4</v>
      </c>
      <c r="G4" s="59">
        <f>IFERROR(VLOOKUP(B4,'MP Pan'!$A$6:$F$35,6,FALSE),0)</f>
        <v>2.85</v>
      </c>
      <c r="H4" s="59">
        <f>F4*G4</f>
        <v>11.4</v>
      </c>
      <c r="I4" s="58">
        <f>F4/$F$14</f>
        <v>0.15005861664712777</v>
      </c>
      <c r="J4" s="60">
        <f>$D$20*I4</f>
        <v>1.1428571428571428</v>
      </c>
      <c r="K4" s="61">
        <f>(G4/16)*J4</f>
        <v>0.20357142857142857</v>
      </c>
      <c r="L4" s="35"/>
    </row>
    <row r="5" spans="2:15" x14ac:dyDescent="0.25">
      <c r="B5" s="53" t="s">
        <v>8</v>
      </c>
      <c r="C5" s="30">
        <f>IFERROR(($C$4*F5)/$D$4,"")</f>
        <v>3.125E-2</v>
      </c>
      <c r="D5" s="31"/>
      <c r="E5" s="31">
        <v>2</v>
      </c>
      <c r="F5" s="32">
        <f t="shared" ref="F5:F12" si="0">IFERROR(D5+E5/16,"")</f>
        <v>0.125</v>
      </c>
      <c r="G5" s="33">
        <f>IFERROR(VLOOKUP(B5,'MP Pan'!$A$6:$F$35,6,FALSE),0)</f>
        <v>11.5</v>
      </c>
      <c r="H5" s="33">
        <f t="shared" ref="H5:H13" si="1">F5*G5</f>
        <v>1.4375</v>
      </c>
      <c r="I5" s="32">
        <f t="shared" ref="I5:I13" si="2">F5/$F$14</f>
        <v>4.6893317702227429E-3</v>
      </c>
      <c r="J5" s="34">
        <f t="shared" ref="J5:J13" si="3">$D$20*I5</f>
        <v>3.5714285714285712E-2</v>
      </c>
      <c r="K5" s="54">
        <f t="shared" ref="K5:K13" si="4">(G5/16)*J5</f>
        <v>2.5669642857142856E-2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7.8125E-3</v>
      </c>
      <c r="D6" s="31"/>
      <c r="E6" s="31">
        <v>0.5</v>
      </c>
      <c r="F6" s="32">
        <f t="shared" si="0"/>
        <v>3.125E-2</v>
      </c>
      <c r="G6" s="33">
        <f>IFERROR(VLOOKUP(B6,'MP Pan'!$A$6:$F$35,6,FALSE),0)</f>
        <v>1.5</v>
      </c>
      <c r="H6" s="33">
        <f t="shared" si="1"/>
        <v>4.6875E-2</v>
      </c>
      <c r="I6" s="32">
        <f t="shared" si="2"/>
        <v>1.1723329425556857E-3</v>
      </c>
      <c r="J6" s="34">
        <f t="shared" si="3"/>
        <v>8.9285714285714281E-3</v>
      </c>
      <c r="K6" s="54">
        <f t="shared" si="4"/>
        <v>8.3705357142857138E-4</v>
      </c>
      <c r="L6" s="35"/>
      <c r="O6" s="35"/>
    </row>
    <row r="7" spans="2:15" x14ac:dyDescent="0.25">
      <c r="B7" s="53" t="s">
        <v>7</v>
      </c>
      <c r="C7" s="30">
        <f t="shared" si="5"/>
        <v>1</v>
      </c>
      <c r="D7" s="31">
        <v>4</v>
      </c>
      <c r="E7" s="31"/>
      <c r="F7" s="32">
        <f t="shared" si="0"/>
        <v>4</v>
      </c>
      <c r="G7" s="33">
        <f>IFERROR(VLOOKUP(B7,'MP Pan'!$A$6:$F$35,6,FALSE),0)</f>
        <v>4.5</v>
      </c>
      <c r="H7" s="33">
        <f t="shared" si="1"/>
        <v>18</v>
      </c>
      <c r="I7" s="32">
        <f t="shared" si="2"/>
        <v>0.15005861664712777</v>
      </c>
      <c r="J7" s="34">
        <f t="shared" si="3"/>
        <v>1.1428571428571428</v>
      </c>
      <c r="K7" s="54">
        <f t="shared" si="4"/>
        <v>0.3214285714285714</v>
      </c>
      <c r="N7" s="35"/>
      <c r="O7" s="35"/>
    </row>
    <row r="8" spans="2:15" x14ac:dyDescent="0.25">
      <c r="B8" s="53" t="s">
        <v>80</v>
      </c>
      <c r="C8" s="30">
        <f t="shared" si="5"/>
        <v>0.5</v>
      </c>
      <c r="D8" s="31">
        <v>2</v>
      </c>
      <c r="E8" s="31"/>
      <c r="F8" s="32">
        <f t="shared" si="0"/>
        <v>2</v>
      </c>
      <c r="G8" s="33">
        <f>IFERROR(VLOOKUP(B8,'MP Pan'!$A$6:$F$35,6,FALSE),0)</f>
        <v>0.625</v>
      </c>
      <c r="H8" s="33">
        <f t="shared" si="1"/>
        <v>1.25</v>
      </c>
      <c r="I8" s="32">
        <f t="shared" si="2"/>
        <v>7.5029308323563887E-2</v>
      </c>
      <c r="J8" s="34">
        <f t="shared" si="3"/>
        <v>0.5714285714285714</v>
      </c>
      <c r="K8" s="54">
        <f t="shared" si="4"/>
        <v>2.2321428571428568E-2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1.125</v>
      </c>
      <c r="D9" s="31">
        <v>4</v>
      </c>
      <c r="E9" s="31">
        <v>8</v>
      </c>
      <c r="F9" s="32">
        <f t="shared" si="0"/>
        <v>4.5</v>
      </c>
      <c r="G9" s="33">
        <f>IFERROR(VLOOKUP(B9,'MP Pan'!$A$6:$F$35,6,FALSE),0)</f>
        <v>0.5</v>
      </c>
      <c r="H9" s="33">
        <f t="shared" si="1"/>
        <v>2.25</v>
      </c>
      <c r="I9" s="32">
        <f t="shared" si="2"/>
        <v>0.16881594372801875</v>
      </c>
      <c r="J9" s="34">
        <f t="shared" si="3"/>
        <v>1.2857142857142858</v>
      </c>
      <c r="K9" s="54">
        <f t="shared" si="4"/>
        <v>4.0178571428571432E-2</v>
      </c>
      <c r="M9" s="95"/>
      <c r="N9" s="95"/>
      <c r="O9" s="35"/>
    </row>
    <row r="10" spans="2:15" x14ac:dyDescent="0.25">
      <c r="B10" s="53" t="s">
        <v>79</v>
      </c>
      <c r="C10" s="30">
        <f t="shared" si="5"/>
        <v>3</v>
      </c>
      <c r="D10" s="31">
        <v>12</v>
      </c>
      <c r="E10" s="31"/>
      <c r="F10" s="32">
        <f t="shared" si="0"/>
        <v>12</v>
      </c>
      <c r="G10" s="33">
        <f>IFERROR(VLOOKUP(B10,'MP Pan'!$A$6:$F$35,6,FALSE),0)</f>
        <v>0.5</v>
      </c>
      <c r="H10" s="33">
        <f t="shared" si="1"/>
        <v>6</v>
      </c>
      <c r="I10" s="32">
        <f t="shared" si="2"/>
        <v>0.45017584994138338</v>
      </c>
      <c r="J10" s="34">
        <f t="shared" si="3"/>
        <v>3.4285714285714288</v>
      </c>
      <c r="K10" s="54">
        <f t="shared" si="4"/>
        <v>0.10714285714285715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26</v>
      </c>
      <c r="E14" s="75">
        <f t="shared" si="6"/>
        <v>10.5</v>
      </c>
      <c r="F14" s="75">
        <f t="shared" si="6"/>
        <v>26.65625</v>
      </c>
      <c r="G14" s="76">
        <f t="shared" si="6"/>
        <v>21.975000000000001</v>
      </c>
      <c r="H14" s="76">
        <f t="shared" si="6"/>
        <v>40.384374999999999</v>
      </c>
      <c r="I14" s="75">
        <f t="shared" si="6"/>
        <v>1</v>
      </c>
      <c r="J14" s="77">
        <f>$D$20*I14</f>
        <v>7.6160714285714288</v>
      </c>
      <c r="K14" s="78">
        <f>SUM(K4:K13)</f>
        <v>0.72114955357142851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56</v>
      </c>
      <c r="E16" s="27" t="str">
        <f>_xlfn.CONCAT("Pan ",B2,)</f>
        <v>Pan Cubilites de Banano</v>
      </c>
      <c r="F16" s="25"/>
      <c r="G16" s="52" t="s">
        <v>56</v>
      </c>
      <c r="H16" s="49">
        <f>D16*30</f>
        <v>1680</v>
      </c>
      <c r="I16" s="35"/>
    </row>
    <row r="17" spans="3:9" ht="15.75" thickBot="1" x14ac:dyDescent="0.3">
      <c r="C17" s="39" t="s">
        <v>54</v>
      </c>
      <c r="D17" s="40">
        <v>3</v>
      </c>
      <c r="E17" s="35"/>
      <c r="F17" s="25"/>
      <c r="G17" s="46" t="s">
        <v>57</v>
      </c>
      <c r="H17" s="47">
        <f>H16*D17</f>
        <v>5040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426.5</v>
      </c>
    </row>
    <row r="20" spans="3:9" ht="15.75" thickBot="1" x14ac:dyDescent="0.3">
      <c r="C20" s="50" t="s">
        <v>68</v>
      </c>
      <c r="D20" s="51">
        <f>D19/D16</f>
        <v>7.6160714285714288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40.384374999999999</v>
      </c>
    </row>
    <row r="23" spans="3:9" x14ac:dyDescent="0.25">
      <c r="C23" s="44" t="s">
        <v>70</v>
      </c>
      <c r="D23" s="39"/>
      <c r="E23" s="45">
        <f>D17*D16</f>
        <v>168</v>
      </c>
    </row>
    <row r="24" spans="3:9" x14ac:dyDescent="0.25">
      <c r="C24" s="44" t="s">
        <v>66</v>
      </c>
      <c r="D24" s="39"/>
      <c r="E24" s="45">
        <f>E23-E22</f>
        <v>127.61562499999999</v>
      </c>
    </row>
    <row r="25" spans="3:9" ht="15.75" thickBot="1" x14ac:dyDescent="0.3">
      <c r="C25" s="90" t="s">
        <v>72</v>
      </c>
      <c r="D25" s="91"/>
      <c r="E25" s="79">
        <f>E24/E22</f>
        <v>3.1600247620521551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D2EB-A5A5-4CFC-8A96-5BB75BF9314E}">
  <sheetPr codeName="Sheet18"/>
  <dimension ref="B1:O25"/>
  <sheetViews>
    <sheetView workbookViewId="0">
      <selection activeCell="B3" sqref="B3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175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5</v>
      </c>
      <c r="E4" s="57"/>
      <c r="F4" s="58">
        <f>IFERROR(D4+E4/16,"")</f>
        <v>5</v>
      </c>
      <c r="G4" s="59">
        <f>IFERROR(VLOOKUP(B4,'MP Pan'!$A$6:$F$35,6,FALSE),0)</f>
        <v>2.85</v>
      </c>
      <c r="H4" s="59">
        <f>F4*G4</f>
        <v>14.25</v>
      </c>
      <c r="I4" s="58">
        <f>F4/$F$14</f>
        <v>0.35794183445190159</v>
      </c>
      <c r="J4" s="60">
        <f>$D$20*I4</f>
        <v>0.27777777777777779</v>
      </c>
      <c r="K4" s="61">
        <f>(G4/16)*J4</f>
        <v>4.9479166666666671E-2</v>
      </c>
      <c r="L4" s="35"/>
    </row>
    <row r="5" spans="2:15" x14ac:dyDescent="0.25">
      <c r="B5" s="53" t="s">
        <v>8</v>
      </c>
      <c r="C5" s="30">
        <f>IFERROR(($C$4*F5)/$D$4,"")</f>
        <v>2.5000000000000001E-2</v>
      </c>
      <c r="D5" s="31"/>
      <c r="E5" s="31">
        <v>2</v>
      </c>
      <c r="F5" s="32">
        <f t="shared" ref="F5:F12" si="0">IFERROR(D5+E5/16,"")</f>
        <v>0.125</v>
      </c>
      <c r="G5" s="33">
        <f>IFERROR(VLOOKUP(B5,'MP Pan'!$A$6:$F$35,6,FALSE),0)</f>
        <v>11.5</v>
      </c>
      <c r="H5" s="33">
        <f t="shared" ref="H5:H13" si="1">F5*G5</f>
        <v>1.4375</v>
      </c>
      <c r="I5" s="32">
        <f t="shared" ref="I5:I13" si="2">F5/$F$14</f>
        <v>8.948545861297539E-3</v>
      </c>
      <c r="J5" s="34">
        <f t="shared" ref="J5:J13" si="3">$D$20*I5</f>
        <v>6.9444444444444441E-3</v>
      </c>
      <c r="K5" s="54">
        <f t="shared" ref="K5:K13" si="4">(G5/16)*J5</f>
        <v>4.9913194444444441E-3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6.2500000000000003E-3</v>
      </c>
      <c r="D6" s="31"/>
      <c r="E6" s="31">
        <v>0.5</v>
      </c>
      <c r="F6" s="32">
        <f t="shared" si="0"/>
        <v>3.125E-2</v>
      </c>
      <c r="G6" s="33">
        <f>IFERROR(VLOOKUP(B6,'MP Pan'!$A$6:$F$35,6,FALSE),0)</f>
        <v>1.5</v>
      </c>
      <c r="H6" s="33">
        <f t="shared" si="1"/>
        <v>4.6875E-2</v>
      </c>
      <c r="I6" s="32">
        <f t="shared" si="2"/>
        <v>2.2371364653243847E-3</v>
      </c>
      <c r="J6" s="34">
        <f t="shared" si="3"/>
        <v>1.736111111111111E-3</v>
      </c>
      <c r="K6" s="54">
        <f t="shared" si="4"/>
        <v>1.6276041666666666E-4</v>
      </c>
      <c r="L6" s="35"/>
      <c r="O6" s="35"/>
    </row>
    <row r="7" spans="2:15" x14ac:dyDescent="0.25">
      <c r="B7" s="53" t="s">
        <v>7</v>
      </c>
      <c r="C7" s="30">
        <f t="shared" si="5"/>
        <v>0.15</v>
      </c>
      <c r="D7" s="31"/>
      <c r="E7" s="31">
        <v>12</v>
      </c>
      <c r="F7" s="32">
        <f t="shared" si="0"/>
        <v>0.75</v>
      </c>
      <c r="G7" s="33">
        <f>IFERROR(VLOOKUP(B7,'MP Pan'!$A$6:$F$35,6,FALSE),0)</f>
        <v>4.5</v>
      </c>
      <c r="H7" s="33">
        <f t="shared" si="1"/>
        <v>3.375</v>
      </c>
      <c r="I7" s="32">
        <f t="shared" si="2"/>
        <v>5.3691275167785234E-2</v>
      </c>
      <c r="J7" s="34">
        <f t="shared" si="3"/>
        <v>4.1666666666666664E-2</v>
      </c>
      <c r="K7" s="54">
        <f t="shared" si="4"/>
        <v>1.171875E-2</v>
      </c>
      <c r="N7" s="35"/>
      <c r="O7" s="35"/>
    </row>
    <row r="8" spans="2:15" x14ac:dyDescent="0.25">
      <c r="B8" s="53" t="s">
        <v>97</v>
      </c>
      <c r="C8" s="30">
        <f t="shared" si="5"/>
        <v>0.15</v>
      </c>
      <c r="D8" s="31"/>
      <c r="E8" s="31">
        <v>12</v>
      </c>
      <c r="F8" s="32">
        <f t="shared" si="0"/>
        <v>0.75</v>
      </c>
      <c r="G8" s="33">
        <f>IFERROR(VLOOKUP(B8,'MP Pan'!$A$6:$F$35,6,FALSE),0)</f>
        <v>10</v>
      </c>
      <c r="H8" s="33">
        <f t="shared" si="1"/>
        <v>7.5</v>
      </c>
      <c r="I8" s="32">
        <f t="shared" si="2"/>
        <v>5.3691275167785234E-2</v>
      </c>
      <c r="J8" s="34">
        <f t="shared" si="3"/>
        <v>4.1666666666666664E-2</v>
      </c>
      <c r="K8" s="54">
        <f t="shared" si="4"/>
        <v>2.6041666666666664E-2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1</v>
      </c>
      <c r="D9" s="31">
        <v>5</v>
      </c>
      <c r="E9" s="31">
        <v>0</v>
      </c>
      <c r="F9" s="32">
        <f t="shared" si="0"/>
        <v>5</v>
      </c>
      <c r="G9" s="33">
        <f>IFERROR(VLOOKUP(B9,'MP Pan'!$A$6:$F$35,6,FALSE),0)</f>
        <v>0.5</v>
      </c>
      <c r="H9" s="33">
        <f t="shared" si="1"/>
        <v>2.5</v>
      </c>
      <c r="I9" s="32">
        <f t="shared" si="2"/>
        <v>0.35794183445190159</v>
      </c>
      <c r="J9" s="34">
        <f t="shared" si="3"/>
        <v>0.27777777777777779</v>
      </c>
      <c r="K9" s="54">
        <f t="shared" si="4"/>
        <v>8.6805555555555559E-3</v>
      </c>
      <c r="M9" s="95"/>
      <c r="N9" s="95"/>
      <c r="O9" s="35"/>
    </row>
    <row r="10" spans="2:15" x14ac:dyDescent="0.25">
      <c r="B10" s="53" t="s">
        <v>98</v>
      </c>
      <c r="C10" s="30">
        <f t="shared" si="5"/>
        <v>0.4</v>
      </c>
      <c r="D10" s="31">
        <v>2</v>
      </c>
      <c r="E10" s="31"/>
      <c r="F10" s="32">
        <f t="shared" si="0"/>
        <v>2</v>
      </c>
      <c r="G10" s="33">
        <f>IFERROR(VLOOKUP(B10,'MP Pan'!$A$6:$F$35,6,FALSE),0)</f>
        <v>11</v>
      </c>
      <c r="H10" s="33">
        <f t="shared" si="1"/>
        <v>22</v>
      </c>
      <c r="I10" s="32">
        <f t="shared" si="2"/>
        <v>0.14317673378076062</v>
      </c>
      <c r="J10" s="34">
        <f t="shared" si="3"/>
        <v>0.1111111111111111</v>
      </c>
      <c r="K10" s="54">
        <f t="shared" si="4"/>
        <v>7.6388888888888881E-2</v>
      </c>
      <c r="M10" s="95"/>
      <c r="N10" s="95"/>
      <c r="O10" s="35"/>
    </row>
    <row r="11" spans="2:15" x14ac:dyDescent="0.25">
      <c r="B11" s="53" t="s">
        <v>99</v>
      </c>
      <c r="C11" s="30">
        <f>IFERROR(($C$4*F11)/$D$4,"")</f>
        <v>0.05</v>
      </c>
      <c r="D11" s="31"/>
      <c r="E11" s="31">
        <v>4</v>
      </c>
      <c r="F11" s="32">
        <f t="shared" si="0"/>
        <v>0.25</v>
      </c>
      <c r="G11" s="33">
        <f>IFERROR(VLOOKUP(B11,'MP Pan'!$A$6:$F$35,6,FALSE),0)</f>
        <v>21</v>
      </c>
      <c r="H11" s="33">
        <f t="shared" si="1"/>
        <v>5.25</v>
      </c>
      <c r="I11" s="32">
        <f t="shared" si="2"/>
        <v>1.7897091722595078E-2</v>
      </c>
      <c r="J11" s="34">
        <f t="shared" si="3"/>
        <v>1.3888888888888888E-2</v>
      </c>
      <c r="K11" s="54">
        <f t="shared" si="4"/>
        <v>1.8229166666666664E-2</v>
      </c>
      <c r="M11" s="36"/>
      <c r="N11" s="36"/>
      <c r="O11" s="35"/>
    </row>
    <row r="12" spans="2:15" x14ac:dyDescent="0.25">
      <c r="B12" s="53" t="s">
        <v>100</v>
      </c>
      <c r="C12" s="30">
        <f t="shared" si="5"/>
        <v>1.2500000000000001E-2</v>
      </c>
      <c r="D12" s="31"/>
      <c r="E12" s="31">
        <v>1</v>
      </c>
      <c r="F12" s="32">
        <f t="shared" si="0"/>
        <v>6.25E-2</v>
      </c>
      <c r="G12" s="33">
        <f>IFERROR(VLOOKUP(B12,'MP Pan'!$A$6:$F$35,6,FALSE),0)</f>
        <v>2.5</v>
      </c>
      <c r="H12" s="33">
        <f t="shared" si="1"/>
        <v>0.15625</v>
      </c>
      <c r="I12" s="32">
        <f t="shared" si="2"/>
        <v>4.4742729306487695E-3</v>
      </c>
      <c r="J12" s="34">
        <f t="shared" si="3"/>
        <v>3.472222222222222E-3</v>
      </c>
      <c r="K12" s="54">
        <f t="shared" si="4"/>
        <v>5.4253472222222225E-4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12</v>
      </c>
      <c r="E14" s="75">
        <f t="shared" si="6"/>
        <v>31.5</v>
      </c>
      <c r="F14" s="75">
        <f t="shared" si="6"/>
        <v>13.96875</v>
      </c>
      <c r="G14" s="76">
        <f t="shared" si="6"/>
        <v>65.349999999999994</v>
      </c>
      <c r="H14" s="76">
        <f t="shared" si="6"/>
        <v>56.515625</v>
      </c>
      <c r="I14" s="75">
        <f t="shared" si="6"/>
        <v>0.99999999999999989</v>
      </c>
      <c r="J14" s="77">
        <f>$D$20*I14</f>
        <v>0.77604166666666652</v>
      </c>
      <c r="K14" s="78">
        <f>SUM(K4:K13)</f>
        <v>0.19623480902777776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f>6*8*6</f>
        <v>288</v>
      </c>
      <c r="E16" s="27" t="str">
        <f>_xlfn.CONCAT("Pan ",B2,)</f>
        <v>Pan Donas</v>
      </c>
      <c r="F16" s="25"/>
      <c r="G16" s="52" t="s">
        <v>56</v>
      </c>
      <c r="H16" s="49">
        <f>D16*30</f>
        <v>8640</v>
      </c>
      <c r="I16" s="35"/>
    </row>
    <row r="17" spans="3:9" ht="15.75" thickBot="1" x14ac:dyDescent="0.3">
      <c r="C17" s="39" t="s">
        <v>54</v>
      </c>
      <c r="D17" s="40">
        <v>3</v>
      </c>
      <c r="E17" s="35"/>
      <c r="F17" s="25"/>
      <c r="G17" s="46" t="s">
        <v>57</v>
      </c>
      <c r="H17" s="47">
        <f>H16*D17</f>
        <v>25920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223.5</v>
      </c>
    </row>
    <row r="20" spans="3:9" ht="15.75" thickBot="1" x14ac:dyDescent="0.3">
      <c r="C20" s="50" t="s">
        <v>68</v>
      </c>
      <c r="D20" s="51">
        <f>D19/D16</f>
        <v>0.77604166666666663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56.515625</v>
      </c>
    </row>
    <row r="23" spans="3:9" x14ac:dyDescent="0.25">
      <c r="C23" s="44" t="s">
        <v>70</v>
      </c>
      <c r="D23" s="39"/>
      <c r="E23" s="45">
        <f>D17*D16</f>
        <v>864</v>
      </c>
    </row>
    <row r="24" spans="3:9" x14ac:dyDescent="0.25">
      <c r="C24" s="44" t="s">
        <v>66</v>
      </c>
      <c r="D24" s="39"/>
      <c r="E24" s="45">
        <f>E23-E22</f>
        <v>807.484375</v>
      </c>
    </row>
    <row r="25" spans="3:9" ht="15.75" thickBot="1" x14ac:dyDescent="0.3">
      <c r="C25" s="90" t="s">
        <v>72</v>
      </c>
      <c r="D25" s="91"/>
      <c r="E25" s="79">
        <f>E24/E22</f>
        <v>14.287807575338679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253F-4F4D-4995-A841-2FB0A1AA0AD6}">
  <sheetPr codeName="Sheet19"/>
  <dimension ref="B1:O25"/>
  <sheetViews>
    <sheetView workbookViewId="0">
      <selection activeCell="B2" sqref="B2:K2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174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5</v>
      </c>
      <c r="E4" s="57"/>
      <c r="F4" s="58">
        <f>IFERROR(D4+E4/16,"")</f>
        <v>5</v>
      </c>
      <c r="G4" s="59">
        <f>IFERROR(VLOOKUP(B4,'MP Pan'!$A$6:$F$35,6,FALSE),0)</f>
        <v>2.85</v>
      </c>
      <c r="H4" s="59">
        <f>F4*G4</f>
        <v>14.25</v>
      </c>
      <c r="I4" s="58">
        <f>F4/$F$14</f>
        <v>0.36613272311212813</v>
      </c>
      <c r="J4" s="60">
        <f>$D$20*I4</f>
        <v>0.20408163265306123</v>
      </c>
      <c r="K4" s="61">
        <f>(G4/16)*J4</f>
        <v>3.6352040816326529E-2</v>
      </c>
      <c r="L4" s="35"/>
    </row>
    <row r="5" spans="2:15" x14ac:dyDescent="0.25">
      <c r="B5" s="53" t="s">
        <v>8</v>
      </c>
      <c r="C5" s="30">
        <f>IFERROR(($C$4*F5)/$D$4,"")</f>
        <v>0</v>
      </c>
      <c r="D5" s="31"/>
      <c r="E5" s="31">
        <v>0</v>
      </c>
      <c r="F5" s="32">
        <f t="shared" ref="F5:F12" si="0">IFERROR(D5+E5/16,"")</f>
        <v>0</v>
      </c>
      <c r="G5" s="33">
        <f>IFERROR(VLOOKUP(B5,'MP Pan'!$A$6:$F$35,6,FALSE),0)</f>
        <v>11.5</v>
      </c>
      <c r="H5" s="33">
        <f t="shared" ref="H5:H13" si="1">F5*G5</f>
        <v>0</v>
      </c>
      <c r="I5" s="32">
        <f t="shared" ref="I5:I13" si="2">F5/$F$14</f>
        <v>0</v>
      </c>
      <c r="J5" s="34">
        <f t="shared" ref="J5:J13" si="3">$D$20*I5</f>
        <v>0</v>
      </c>
      <c r="K5" s="54">
        <f t="shared" ref="K5:K13" si="4">(G5/16)*J5</f>
        <v>0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1.8749999999999999E-2</v>
      </c>
      <c r="D6" s="31"/>
      <c r="E6" s="31">
        <v>1.5</v>
      </c>
      <c r="F6" s="32">
        <f t="shared" si="0"/>
        <v>9.375E-2</v>
      </c>
      <c r="G6" s="33">
        <f>IFERROR(VLOOKUP(B6,'MP Pan'!$A$6:$F$35,6,FALSE),0)</f>
        <v>1.5</v>
      </c>
      <c r="H6" s="33">
        <f t="shared" si="1"/>
        <v>0.140625</v>
      </c>
      <c r="I6" s="32">
        <f t="shared" si="2"/>
        <v>6.8649885583524023E-3</v>
      </c>
      <c r="J6" s="34">
        <f t="shared" si="3"/>
        <v>3.8265306122448979E-3</v>
      </c>
      <c r="K6" s="54">
        <f t="shared" si="4"/>
        <v>3.5873724489795915E-4</v>
      </c>
      <c r="L6" s="35"/>
      <c r="O6" s="35"/>
    </row>
    <row r="7" spans="2:15" x14ac:dyDescent="0.25">
      <c r="B7" s="53" t="s">
        <v>7</v>
      </c>
      <c r="C7" s="30">
        <f t="shared" si="5"/>
        <v>1.2500000000000001E-2</v>
      </c>
      <c r="D7" s="31"/>
      <c r="E7" s="31">
        <v>1</v>
      </c>
      <c r="F7" s="32">
        <f t="shared" si="0"/>
        <v>6.25E-2</v>
      </c>
      <c r="G7" s="33">
        <f>IFERROR(VLOOKUP(B7,'MP Pan'!$A$6:$F$35,6,FALSE),0)</f>
        <v>4.5</v>
      </c>
      <c r="H7" s="33">
        <f t="shared" si="1"/>
        <v>0.28125</v>
      </c>
      <c r="I7" s="32">
        <f t="shared" si="2"/>
        <v>4.5766590389016018E-3</v>
      </c>
      <c r="J7" s="34">
        <f t="shared" si="3"/>
        <v>2.5510204081632655E-3</v>
      </c>
      <c r="K7" s="54">
        <f t="shared" si="4"/>
        <v>7.174744897959184E-4</v>
      </c>
      <c r="N7" s="35"/>
      <c r="O7" s="35"/>
    </row>
    <row r="8" spans="2:15" x14ac:dyDescent="0.25">
      <c r="B8" s="53" t="s">
        <v>102</v>
      </c>
      <c r="C8" s="30">
        <f t="shared" si="5"/>
        <v>0.6</v>
      </c>
      <c r="D8" s="31">
        <v>3</v>
      </c>
      <c r="E8" s="31"/>
      <c r="F8" s="32">
        <f t="shared" si="0"/>
        <v>3</v>
      </c>
      <c r="G8" s="33">
        <f>IFERROR(VLOOKUP(B8,'MP Pan'!$A$6:$F$35,6,FALSE),0)</f>
        <v>10</v>
      </c>
      <c r="H8" s="33">
        <f t="shared" si="1"/>
        <v>30</v>
      </c>
      <c r="I8" s="32">
        <f t="shared" si="2"/>
        <v>0.21967963386727687</v>
      </c>
      <c r="J8" s="34">
        <f t="shared" si="3"/>
        <v>0.12244897959183673</v>
      </c>
      <c r="K8" s="54">
        <f t="shared" si="4"/>
        <v>7.6530612244897961E-2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1</v>
      </c>
      <c r="D9" s="31">
        <v>5</v>
      </c>
      <c r="E9" s="31">
        <v>0</v>
      </c>
      <c r="F9" s="32">
        <f t="shared" si="0"/>
        <v>5</v>
      </c>
      <c r="G9" s="33">
        <f>IFERROR(VLOOKUP(B9,'MP Pan'!$A$6:$F$35,6,FALSE),0)</f>
        <v>0.5</v>
      </c>
      <c r="H9" s="33">
        <f t="shared" si="1"/>
        <v>2.5</v>
      </c>
      <c r="I9" s="32">
        <f t="shared" si="2"/>
        <v>0.36613272311212813</v>
      </c>
      <c r="J9" s="34">
        <f t="shared" si="3"/>
        <v>0.20408163265306123</v>
      </c>
      <c r="K9" s="54">
        <f t="shared" si="4"/>
        <v>6.3775510204081634E-3</v>
      </c>
      <c r="M9" s="95"/>
      <c r="N9" s="95"/>
      <c r="O9" s="35"/>
    </row>
    <row r="10" spans="2:15" x14ac:dyDescent="0.25">
      <c r="B10" s="53" t="s">
        <v>104</v>
      </c>
      <c r="C10" s="30">
        <f t="shared" si="5"/>
        <v>0.1</v>
      </c>
      <c r="D10" s="31"/>
      <c r="E10" s="31">
        <v>8</v>
      </c>
      <c r="F10" s="32">
        <f t="shared" si="0"/>
        <v>0.5</v>
      </c>
      <c r="G10" s="33">
        <f>IFERROR(VLOOKUP(B10,'MP Pan'!$A$6:$F$35,6,FALSE),0)</f>
        <v>7.2727272727272725</v>
      </c>
      <c r="H10" s="33">
        <f t="shared" si="1"/>
        <v>3.6363636363636362</v>
      </c>
      <c r="I10" s="32">
        <f t="shared" si="2"/>
        <v>3.6613272311212815E-2</v>
      </c>
      <c r="J10" s="34">
        <f t="shared" si="3"/>
        <v>2.0408163265306124E-2</v>
      </c>
      <c r="K10" s="54">
        <f t="shared" si="4"/>
        <v>9.2764378478664197E-3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13</v>
      </c>
      <c r="E14" s="75">
        <f t="shared" si="6"/>
        <v>10.5</v>
      </c>
      <c r="F14" s="75">
        <f t="shared" si="6"/>
        <v>13.65625</v>
      </c>
      <c r="G14" s="76">
        <f t="shared" si="6"/>
        <v>38.122727272727275</v>
      </c>
      <c r="H14" s="76">
        <f t="shared" si="6"/>
        <v>50.808238636363633</v>
      </c>
      <c r="I14" s="75">
        <f t="shared" si="6"/>
        <v>0.99999999999999989</v>
      </c>
      <c r="J14" s="77">
        <f>$D$20*I14</f>
        <v>0.55739795918367341</v>
      </c>
      <c r="K14" s="78">
        <f>SUM(K4:K13)</f>
        <v>0.12961285366419295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f>7*7*8</f>
        <v>392</v>
      </c>
      <c r="E16" s="27" t="str">
        <f>_xlfn.CONCAT("Pan ",B2,)</f>
        <v>Pan Pañuelitos</v>
      </c>
      <c r="F16" s="25"/>
      <c r="G16" s="52" t="s">
        <v>56</v>
      </c>
      <c r="H16" s="49">
        <f>D16*30</f>
        <v>11760</v>
      </c>
      <c r="I16" s="35"/>
    </row>
    <row r="17" spans="3:9" ht="15.75" thickBot="1" x14ac:dyDescent="0.3">
      <c r="C17" s="39" t="s">
        <v>54</v>
      </c>
      <c r="D17" s="40">
        <v>3</v>
      </c>
      <c r="E17" s="35"/>
      <c r="F17" s="25"/>
      <c r="G17" s="46" t="s">
        <v>57</v>
      </c>
      <c r="H17" s="47">
        <f>H16*D17</f>
        <v>35280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218.5</v>
      </c>
    </row>
    <row r="20" spans="3:9" ht="15.75" thickBot="1" x14ac:dyDescent="0.3">
      <c r="C20" s="50" t="s">
        <v>68</v>
      </c>
      <c r="D20" s="51">
        <f>D19/D16</f>
        <v>0.55739795918367352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50.808238636363633</v>
      </c>
    </row>
    <row r="23" spans="3:9" x14ac:dyDescent="0.25">
      <c r="C23" s="44" t="s">
        <v>70</v>
      </c>
      <c r="D23" s="39"/>
      <c r="E23" s="45">
        <f>D17*D16</f>
        <v>1176</v>
      </c>
    </row>
    <row r="24" spans="3:9" x14ac:dyDescent="0.25">
      <c r="C24" s="44" t="s">
        <v>66</v>
      </c>
      <c r="D24" s="39"/>
      <c r="E24" s="45">
        <f>E23-E22</f>
        <v>1125.1917613636363</v>
      </c>
    </row>
    <row r="25" spans="3:9" ht="15.75" thickBot="1" x14ac:dyDescent="0.3">
      <c r="C25" s="90" t="s">
        <v>72</v>
      </c>
      <c r="D25" s="91"/>
      <c r="E25" s="79">
        <f>E24/E22</f>
        <v>22.145852553887444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0593-E942-4873-B80E-A24C7A6C1100}">
  <sheetPr codeName="Sheet20"/>
  <dimension ref="B1:O25"/>
  <sheetViews>
    <sheetView workbookViewId="0">
      <selection activeCell="B13" sqref="B13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 bestFit="1" customWidth="1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82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84</v>
      </c>
      <c r="C4" s="56">
        <v>1</v>
      </c>
      <c r="D4" s="57">
        <v>4</v>
      </c>
      <c r="E4" s="57"/>
      <c r="F4" s="58">
        <f t="shared" ref="F4:F12" si="0">IFERROR(D4+E4/16,"")</f>
        <v>4</v>
      </c>
      <c r="G4" s="59">
        <f>IFERROR(VLOOKUP(B4,'MP Pan'!$A$6:$F$35,6,FALSE),0)</f>
        <v>2.85</v>
      </c>
      <c r="H4" s="59">
        <f t="shared" ref="H4:H13" si="1">F4*G4</f>
        <v>11.4</v>
      </c>
      <c r="I4" s="58">
        <f t="shared" ref="I4:I13" si="2">F4/$F$14</f>
        <v>0.10364372469635627</v>
      </c>
      <c r="J4" s="60">
        <f t="shared" ref="J4:J14" si="3">$D$20*I4</f>
        <v>1.1428571428571428</v>
      </c>
      <c r="K4" s="61">
        <f t="shared" ref="K4:K13" si="4">(G4/16)*J4</f>
        <v>0.20357142857142857</v>
      </c>
      <c r="L4" s="35"/>
    </row>
    <row r="5" spans="2:15" x14ac:dyDescent="0.25">
      <c r="B5" s="53" t="s">
        <v>76</v>
      </c>
      <c r="C5" s="30">
        <f t="shared" ref="C5:C13" si="5">IFERROR(($C$4*F5)/$D$4,"")</f>
        <v>2.5</v>
      </c>
      <c r="D5" s="31">
        <v>10</v>
      </c>
      <c r="E5" s="31"/>
      <c r="F5" s="32">
        <f t="shared" si="0"/>
        <v>10</v>
      </c>
      <c r="G5" s="33">
        <f>IFERROR(VLOOKUP(B5,'MP Pan'!$A$6:$F$35,6,FALSE),0)</f>
        <v>0.5</v>
      </c>
      <c r="H5" s="33">
        <f t="shared" si="1"/>
        <v>5</v>
      </c>
      <c r="I5" s="32">
        <f t="shared" si="2"/>
        <v>0.25910931174089069</v>
      </c>
      <c r="J5" s="34">
        <f t="shared" si="3"/>
        <v>2.8571428571428568</v>
      </c>
      <c r="K5" s="54">
        <f t="shared" si="4"/>
        <v>8.9285714285714274E-2</v>
      </c>
      <c r="L5" s="35"/>
      <c r="N5" s="35"/>
      <c r="O5" s="35"/>
    </row>
    <row r="6" spans="2:15" x14ac:dyDescent="0.25">
      <c r="B6" s="53" t="s">
        <v>107</v>
      </c>
      <c r="C6" s="30">
        <f t="shared" si="5"/>
        <v>1</v>
      </c>
      <c r="D6" s="31">
        <v>4</v>
      </c>
      <c r="E6" s="31"/>
      <c r="F6" s="32">
        <f t="shared" si="0"/>
        <v>4</v>
      </c>
      <c r="G6" s="33">
        <f>IFERROR(VLOOKUP(B6,'MP Pan'!$A$6:$F$35,6,FALSE),0)</f>
        <v>4.5</v>
      </c>
      <c r="H6" s="33">
        <f t="shared" si="1"/>
        <v>18</v>
      </c>
      <c r="I6" s="32">
        <f t="shared" si="2"/>
        <v>0.10364372469635627</v>
      </c>
      <c r="J6" s="34">
        <f t="shared" si="3"/>
        <v>1.1428571428571428</v>
      </c>
      <c r="K6" s="54">
        <f t="shared" si="4"/>
        <v>0.3214285714285714</v>
      </c>
      <c r="L6" s="35"/>
      <c r="O6" s="35"/>
    </row>
    <row r="7" spans="2:15" x14ac:dyDescent="0.25">
      <c r="B7" s="53" t="s">
        <v>108</v>
      </c>
      <c r="C7" s="30">
        <f t="shared" si="5"/>
        <v>0.125</v>
      </c>
      <c r="D7" s="31">
        <v>0.5</v>
      </c>
      <c r="E7" s="31"/>
      <c r="F7" s="32">
        <f t="shared" si="0"/>
        <v>0.5</v>
      </c>
      <c r="G7" s="33">
        <f>IFERROR(VLOOKUP(B7,'MP Pan'!$A$6:$F$35,6,FALSE),0)</f>
        <v>1</v>
      </c>
      <c r="H7" s="33">
        <f t="shared" si="1"/>
        <v>0.5</v>
      </c>
      <c r="I7" s="32">
        <f t="shared" si="2"/>
        <v>1.2955465587044534E-2</v>
      </c>
      <c r="J7" s="34">
        <f t="shared" si="3"/>
        <v>0.14285714285714285</v>
      </c>
      <c r="K7" s="54">
        <f t="shared" si="4"/>
        <v>8.9285714285714281E-3</v>
      </c>
      <c r="N7" s="35"/>
      <c r="O7" s="35"/>
    </row>
    <row r="8" spans="2:15" ht="14.45" customHeight="1" x14ac:dyDescent="0.25">
      <c r="B8" s="53" t="s">
        <v>83</v>
      </c>
      <c r="C8" s="30">
        <f t="shared" si="5"/>
        <v>3</v>
      </c>
      <c r="D8" s="31">
        <v>12</v>
      </c>
      <c r="E8" s="31"/>
      <c r="F8" s="32">
        <f t="shared" si="0"/>
        <v>12</v>
      </c>
      <c r="G8" s="33">
        <f>IFERROR(VLOOKUP(B8,'MP Pan'!$A$6:$F$35,6,FALSE),0)</f>
        <v>1.5</v>
      </c>
      <c r="H8" s="33">
        <f t="shared" si="1"/>
        <v>18</v>
      </c>
      <c r="I8" s="32">
        <f t="shared" si="2"/>
        <v>0.31093117408906884</v>
      </c>
      <c r="J8" s="34">
        <f t="shared" si="3"/>
        <v>3.4285714285714284</v>
      </c>
      <c r="K8" s="54">
        <f t="shared" si="4"/>
        <v>0.3214285714285714</v>
      </c>
      <c r="M8" s="95"/>
      <c r="N8" s="95"/>
      <c r="O8" s="35"/>
    </row>
    <row r="9" spans="2:15" ht="14.45" customHeight="1" x14ac:dyDescent="0.25">
      <c r="B9" s="53" t="s">
        <v>110</v>
      </c>
      <c r="C9" s="30">
        <f t="shared" si="5"/>
        <v>0.25</v>
      </c>
      <c r="D9" s="31">
        <v>1</v>
      </c>
      <c r="E9" s="31"/>
      <c r="F9" s="32">
        <f t="shared" si="0"/>
        <v>1</v>
      </c>
      <c r="G9" s="33">
        <f>IFERROR(VLOOKUP(B9,'MP Pan'!$A$6:$F$35,6,FALSE),0)</f>
        <v>6.6666666666666666E-2</v>
      </c>
      <c r="H9" s="33">
        <f t="shared" si="1"/>
        <v>6.6666666666666666E-2</v>
      </c>
      <c r="I9" s="32">
        <f t="shared" si="2"/>
        <v>2.5910931174089068E-2</v>
      </c>
      <c r="J9" s="34">
        <f t="shared" si="3"/>
        <v>0.2857142857142857</v>
      </c>
      <c r="K9" s="54">
        <f t="shared" si="4"/>
        <v>1.1904761904761904E-3</v>
      </c>
      <c r="M9" s="95"/>
      <c r="N9" s="95"/>
      <c r="O9" s="35"/>
    </row>
    <row r="10" spans="2:15" ht="14.45" customHeight="1" x14ac:dyDescent="0.25">
      <c r="B10" s="53" t="s">
        <v>59</v>
      </c>
      <c r="C10" s="30">
        <f t="shared" si="5"/>
        <v>7.8125E-3</v>
      </c>
      <c r="D10" s="31"/>
      <c r="E10" s="31">
        <v>0.5</v>
      </c>
      <c r="F10" s="32">
        <f t="shared" si="0"/>
        <v>3.125E-2</v>
      </c>
      <c r="G10" s="33">
        <f>IFERROR(VLOOKUP(B10,'MP Pan'!$A$6:$F$35,6,FALSE),0)</f>
        <v>1.5</v>
      </c>
      <c r="H10" s="33">
        <f t="shared" si="1"/>
        <v>4.6875E-2</v>
      </c>
      <c r="I10" s="32">
        <f t="shared" si="2"/>
        <v>8.0971659919028337E-4</v>
      </c>
      <c r="J10" s="34">
        <f t="shared" si="3"/>
        <v>8.9285714285714281E-3</v>
      </c>
      <c r="K10" s="54">
        <f t="shared" si="4"/>
        <v>8.3705357142857138E-4</v>
      </c>
      <c r="M10" s="95"/>
      <c r="N10" s="95"/>
      <c r="O10" s="35"/>
    </row>
    <row r="11" spans="2:15" x14ac:dyDescent="0.25">
      <c r="B11" s="53" t="s">
        <v>112</v>
      </c>
      <c r="C11" s="30">
        <f t="shared" si="5"/>
        <v>1.5625E-2</v>
      </c>
      <c r="D11" s="31"/>
      <c r="E11" s="31">
        <v>1</v>
      </c>
      <c r="F11" s="32">
        <f t="shared" si="0"/>
        <v>6.25E-2</v>
      </c>
      <c r="G11" s="33">
        <f>IFERROR(VLOOKUP(B11,'MP Pan'!$A$6:$F$35,6,FALSE),0)</f>
        <v>11.5</v>
      </c>
      <c r="H11" s="33">
        <f t="shared" si="1"/>
        <v>0.71875</v>
      </c>
      <c r="I11" s="32">
        <f t="shared" si="2"/>
        <v>1.6194331983805667E-3</v>
      </c>
      <c r="J11" s="34">
        <f t="shared" si="3"/>
        <v>1.7857142857142856E-2</v>
      </c>
      <c r="K11" s="54">
        <f t="shared" si="4"/>
        <v>1.2834821428571428E-2</v>
      </c>
      <c r="M11" s="36"/>
      <c r="N11" s="36"/>
      <c r="O11" s="35"/>
    </row>
    <row r="12" spans="2:15" x14ac:dyDescent="0.25">
      <c r="B12" s="53" t="s">
        <v>65</v>
      </c>
      <c r="C12" s="30">
        <f t="shared" si="5"/>
        <v>1.25</v>
      </c>
      <c r="D12" s="31">
        <v>5</v>
      </c>
      <c r="E12" s="31"/>
      <c r="F12" s="32">
        <f t="shared" si="0"/>
        <v>5</v>
      </c>
      <c r="G12" s="33">
        <f>IFERROR(VLOOKUP(B12,'MP Pan'!$A$6:$F$35,6,FALSE),0)</f>
        <v>0.5</v>
      </c>
      <c r="H12" s="33">
        <f t="shared" si="1"/>
        <v>2.5</v>
      </c>
      <c r="I12" s="32">
        <f t="shared" si="2"/>
        <v>0.12955465587044535</v>
      </c>
      <c r="J12" s="34">
        <f t="shared" si="3"/>
        <v>1.4285714285714284</v>
      </c>
      <c r="K12" s="54">
        <f t="shared" si="4"/>
        <v>4.4642857142857137E-2</v>
      </c>
      <c r="M12" s="36"/>
      <c r="N12" s="36"/>
      <c r="O12" s="35"/>
    </row>
    <row r="13" spans="2:15" ht="15.75" thickBot="1" x14ac:dyDescent="0.3">
      <c r="B13" s="68" t="s">
        <v>113</v>
      </c>
      <c r="C13" s="69">
        <f t="shared" si="5"/>
        <v>0.5</v>
      </c>
      <c r="D13" s="70">
        <v>2</v>
      </c>
      <c r="E13" s="70"/>
      <c r="F13" s="71">
        <f>IFERROR(D13+E13/16," ")</f>
        <v>2</v>
      </c>
      <c r="G13" s="72">
        <f>IFERROR(VLOOKUP(B13,'MP Pan'!$A$6:$F$35,6,FALSE),0)</f>
        <v>10</v>
      </c>
      <c r="H13" s="72">
        <f t="shared" si="1"/>
        <v>20</v>
      </c>
      <c r="I13" s="71">
        <f t="shared" si="2"/>
        <v>5.1821862348178135E-2</v>
      </c>
      <c r="J13" s="73">
        <f t="shared" si="3"/>
        <v>0.5714285714285714</v>
      </c>
      <c r="K13" s="74">
        <f t="shared" si="4"/>
        <v>0.3571428571428571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38.5</v>
      </c>
      <c r="E14" s="75">
        <f t="shared" si="6"/>
        <v>1.5</v>
      </c>
      <c r="F14" s="75">
        <f t="shared" si="6"/>
        <v>38.59375</v>
      </c>
      <c r="G14" s="76">
        <f t="shared" si="6"/>
        <v>33.916666666666664</v>
      </c>
      <c r="H14" s="76">
        <f t="shared" si="6"/>
        <v>76.232291666666669</v>
      </c>
      <c r="I14" s="75">
        <f t="shared" si="6"/>
        <v>0.99999999999999989</v>
      </c>
      <c r="J14" s="77">
        <f t="shared" si="3"/>
        <v>11.026785714285712</v>
      </c>
      <c r="K14" s="78">
        <f>SUM(K4:K13)</f>
        <v>1.3612909226190473</v>
      </c>
      <c r="M14" s="102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6" x14ac:dyDescent="0.25">
      <c r="C16" s="38" t="s">
        <v>53</v>
      </c>
      <c r="D16" s="29">
        <v>56</v>
      </c>
      <c r="E16" s="27" t="str">
        <f>_xlfn.CONCAT("Pan ",B2,)</f>
        <v>Pan Cubilites de Banano</v>
      </c>
      <c r="F16" s="25"/>
      <c r="G16" s="52" t="s">
        <v>56</v>
      </c>
      <c r="H16" s="49">
        <f>D16*30</f>
        <v>1680</v>
      </c>
      <c r="I16" s="35"/>
    </row>
    <row r="17" spans="3:9" ht="15.75" thickBot="1" x14ac:dyDescent="0.3">
      <c r="C17" s="39" t="s">
        <v>54</v>
      </c>
      <c r="D17" s="40">
        <v>3</v>
      </c>
      <c r="E17" s="35"/>
      <c r="F17" s="25"/>
      <c r="G17" s="46" t="s">
        <v>57</v>
      </c>
      <c r="H17" s="47">
        <f>H16*D17</f>
        <v>5040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617.5</v>
      </c>
    </row>
    <row r="20" spans="3:9" ht="15.75" thickBot="1" x14ac:dyDescent="0.3">
      <c r="C20" s="50" t="s">
        <v>68</v>
      </c>
      <c r="D20" s="51">
        <f>D19/D16</f>
        <v>11.026785714285714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</f>
        <v>76.232291666666669</v>
      </c>
    </row>
    <row r="23" spans="3:9" x14ac:dyDescent="0.25">
      <c r="C23" s="44" t="s">
        <v>70</v>
      </c>
      <c r="D23" s="39"/>
      <c r="E23" s="45">
        <f>D17*D16</f>
        <v>168</v>
      </c>
    </row>
    <row r="24" spans="3:9" x14ac:dyDescent="0.25">
      <c r="C24" s="44" t="s">
        <v>66</v>
      </c>
      <c r="D24" s="39"/>
      <c r="E24" s="45">
        <f>E23-E22</f>
        <v>91.767708333333331</v>
      </c>
    </row>
    <row r="25" spans="3:9" ht="15.75" thickBot="1" x14ac:dyDescent="0.3">
      <c r="C25" s="90" t="s">
        <v>72</v>
      </c>
      <c r="D25" s="91"/>
      <c r="E25" s="79">
        <f>E24/E22</f>
        <v>1.2037904977932032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82E4-3246-4660-B89D-BA11FB3A8144}">
  <sheetPr codeName="Sheet21"/>
  <dimension ref="B1:O25"/>
  <sheetViews>
    <sheetView workbookViewId="0">
      <selection activeCell="D16" sqref="D16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173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10</v>
      </c>
      <c r="E4" s="57"/>
      <c r="F4" s="58">
        <f>IFERROR(D4+E4/16,"")</f>
        <v>10</v>
      </c>
      <c r="G4" s="59">
        <f>IFERROR(VLOOKUP(B4,'MP Pan'!$A$6:$F$35,6,FALSE),0)</f>
        <v>2.85</v>
      </c>
      <c r="H4" s="59">
        <f>F4*G4</f>
        <v>28.5</v>
      </c>
      <c r="I4" s="58">
        <f>F4/$F$14</f>
        <v>0.61068702290076338</v>
      </c>
      <c r="J4" s="60">
        <f>$D$20*I4</f>
        <v>1.2307692307692308</v>
      </c>
      <c r="K4" s="61">
        <f>(G4/16)*J4</f>
        <v>0.21923076923076926</v>
      </c>
      <c r="L4" s="35"/>
    </row>
    <row r="5" spans="2:15" x14ac:dyDescent="0.25">
      <c r="B5" s="53" t="s">
        <v>8</v>
      </c>
      <c r="C5" s="30">
        <f>IFERROR(($C$4*F5)/$D$4,"")</f>
        <v>2.5000000000000001E-2</v>
      </c>
      <c r="D5" s="31"/>
      <c r="E5" s="31">
        <v>4</v>
      </c>
      <c r="F5" s="32">
        <f t="shared" ref="F5:F12" si="0">IFERROR(D5+E5/16,"")</f>
        <v>0.25</v>
      </c>
      <c r="G5" s="33">
        <f>IFERROR(VLOOKUP(B5,'MP Pan'!$A$6:$F$35,6,FALSE),0)</f>
        <v>11.5</v>
      </c>
      <c r="H5" s="33">
        <f t="shared" ref="H5:H13" si="1">F5*G5</f>
        <v>2.875</v>
      </c>
      <c r="I5" s="32">
        <f t="shared" ref="I5:I13" si="2">F5/$F$14</f>
        <v>1.5267175572519083E-2</v>
      </c>
      <c r="J5" s="34">
        <f t="shared" ref="J5:J13" si="3">$D$20*I5</f>
        <v>3.0769230769230767E-2</v>
      </c>
      <c r="K5" s="54">
        <f t="shared" ref="K5:K13" si="4">(G5/16)*J5</f>
        <v>2.2115384615384613E-2</v>
      </c>
      <c r="L5" s="35"/>
      <c r="N5" s="35"/>
      <c r="O5" s="35"/>
    </row>
    <row r="6" spans="2:15" x14ac:dyDescent="0.25">
      <c r="B6" s="53" t="s">
        <v>10</v>
      </c>
      <c r="C6" s="30">
        <f t="shared" ref="C6:C13" si="5">IFERROR(($C$4*F6)/$D$4,"")</f>
        <v>1.2500000000000001E-2</v>
      </c>
      <c r="D6" s="31"/>
      <c r="E6" s="31">
        <v>2</v>
      </c>
      <c r="F6" s="32">
        <f t="shared" si="0"/>
        <v>0.125</v>
      </c>
      <c r="G6" s="33">
        <f>IFERROR(VLOOKUP(B6,'MP Pan'!$A$6:$F$35,6,FALSE),0)</f>
        <v>1.5</v>
      </c>
      <c r="H6" s="33">
        <f t="shared" si="1"/>
        <v>0.1875</v>
      </c>
      <c r="I6" s="32">
        <f t="shared" si="2"/>
        <v>7.6335877862595417E-3</v>
      </c>
      <c r="J6" s="34">
        <f t="shared" si="3"/>
        <v>1.5384615384615384E-2</v>
      </c>
      <c r="K6" s="54">
        <f t="shared" si="4"/>
        <v>1.4423076923076922E-3</v>
      </c>
      <c r="L6" s="35"/>
      <c r="O6" s="35"/>
    </row>
    <row r="7" spans="2:15" x14ac:dyDescent="0.25">
      <c r="B7" s="53" t="s">
        <v>7</v>
      </c>
      <c r="C7" s="30">
        <f t="shared" si="5"/>
        <v>2.5000000000000001E-2</v>
      </c>
      <c r="D7" s="31"/>
      <c r="E7" s="31">
        <v>4</v>
      </c>
      <c r="F7" s="32">
        <f t="shared" si="0"/>
        <v>0.25</v>
      </c>
      <c r="G7" s="33">
        <f>IFERROR(VLOOKUP(B7,'MP Pan'!$A$6:$F$35,6,FALSE),0)</f>
        <v>4.5</v>
      </c>
      <c r="H7" s="33">
        <f t="shared" si="1"/>
        <v>1.125</v>
      </c>
      <c r="I7" s="32">
        <f t="shared" si="2"/>
        <v>1.5267175572519083E-2</v>
      </c>
      <c r="J7" s="34">
        <f t="shared" si="3"/>
        <v>3.0769230769230767E-2</v>
      </c>
      <c r="K7" s="54">
        <f t="shared" si="4"/>
        <v>8.6538461538461526E-3</v>
      </c>
      <c r="N7" s="35"/>
      <c r="O7" s="35"/>
    </row>
    <row r="8" spans="2:15" x14ac:dyDescent="0.25">
      <c r="B8" s="53" t="s">
        <v>11</v>
      </c>
      <c r="C8" s="30">
        <f t="shared" si="5"/>
        <v>0.05</v>
      </c>
      <c r="D8" s="31"/>
      <c r="E8" s="31">
        <v>8</v>
      </c>
      <c r="F8" s="32">
        <f t="shared" si="0"/>
        <v>0.5</v>
      </c>
      <c r="G8" s="33">
        <f>IFERROR(VLOOKUP(B8,'MP Pan'!$A$6:$F$35,6,FALSE),0)</f>
        <v>7.666666666666667</v>
      </c>
      <c r="H8" s="33">
        <f t="shared" si="1"/>
        <v>3.8333333333333335</v>
      </c>
      <c r="I8" s="32">
        <f t="shared" si="2"/>
        <v>3.0534351145038167E-2</v>
      </c>
      <c r="J8" s="34">
        <f t="shared" si="3"/>
        <v>6.1538461538461535E-2</v>
      </c>
      <c r="K8" s="54">
        <f t="shared" si="4"/>
        <v>2.9487179487179487E-2</v>
      </c>
      <c r="M8" s="95"/>
      <c r="N8" s="95"/>
      <c r="O8" s="35"/>
    </row>
    <row r="9" spans="2:15" x14ac:dyDescent="0.25">
      <c r="B9" s="53" t="s">
        <v>12</v>
      </c>
      <c r="C9" s="30">
        <f t="shared" si="5"/>
        <v>0.52500000000000002</v>
      </c>
      <c r="D9" s="31">
        <v>5</v>
      </c>
      <c r="E9" s="31">
        <v>4</v>
      </c>
      <c r="F9" s="32">
        <f t="shared" si="0"/>
        <v>5.25</v>
      </c>
      <c r="G9" s="33">
        <f>IFERROR(VLOOKUP(B9,'MP Pan'!$A$6:$F$35,6,FALSE),0)</f>
        <v>0.5</v>
      </c>
      <c r="H9" s="33">
        <f t="shared" si="1"/>
        <v>2.625</v>
      </c>
      <c r="I9" s="32">
        <f t="shared" si="2"/>
        <v>0.32061068702290074</v>
      </c>
      <c r="J9" s="34">
        <f t="shared" si="3"/>
        <v>0.64615384615384608</v>
      </c>
      <c r="K9" s="54">
        <f t="shared" si="4"/>
        <v>2.019230769230769E-2</v>
      </c>
      <c r="M9" s="95"/>
      <c r="N9" s="95"/>
      <c r="O9" s="35"/>
    </row>
    <row r="10" spans="2:15" x14ac:dyDescent="0.25">
      <c r="B10" s="53"/>
      <c r="C10" s="30">
        <f t="shared" si="5"/>
        <v>0</v>
      </c>
      <c r="D10" s="31"/>
      <c r="E10" s="31"/>
      <c r="F10" s="32">
        <f t="shared" si="0"/>
        <v>0</v>
      </c>
      <c r="G10" s="33">
        <f>IFERROR(VLOOKUP(B10,'MP Pan'!$A$6:$F$35,6,FALSE),0)</f>
        <v>0</v>
      </c>
      <c r="H10" s="33">
        <f t="shared" si="1"/>
        <v>0</v>
      </c>
      <c r="I10" s="32">
        <f t="shared" si="2"/>
        <v>0</v>
      </c>
      <c r="J10" s="34">
        <f t="shared" si="3"/>
        <v>0</v>
      </c>
      <c r="K10" s="54">
        <f t="shared" si="4"/>
        <v>0</v>
      </c>
      <c r="M10" s="95"/>
      <c r="N10" s="95"/>
      <c r="O10" s="35"/>
    </row>
    <row r="11" spans="2:15" x14ac:dyDescent="0.25">
      <c r="B11" s="53"/>
      <c r="C11" s="30">
        <f>IFERROR(($C$4*F11)/$D$4,"")</f>
        <v>0</v>
      </c>
      <c r="D11" s="31"/>
      <c r="E11" s="31"/>
      <c r="F11" s="32">
        <f t="shared" si="0"/>
        <v>0</v>
      </c>
      <c r="G11" s="33">
        <f>IFERROR(VLOOKUP(B11,'MP Pan'!$A$6:$F$35,6,FALSE),0)</f>
        <v>0</v>
      </c>
      <c r="H11" s="33">
        <f t="shared" si="1"/>
        <v>0</v>
      </c>
      <c r="I11" s="32">
        <f t="shared" si="2"/>
        <v>0</v>
      </c>
      <c r="J11" s="34">
        <f t="shared" si="3"/>
        <v>0</v>
      </c>
      <c r="K11" s="54">
        <f t="shared" si="4"/>
        <v>0</v>
      </c>
      <c r="M11" s="36"/>
      <c r="N11" s="36"/>
      <c r="O11" s="35"/>
    </row>
    <row r="12" spans="2:15" x14ac:dyDescent="0.25">
      <c r="B12" s="53"/>
      <c r="C12" s="30">
        <f t="shared" si="5"/>
        <v>0</v>
      </c>
      <c r="D12" s="31"/>
      <c r="E12" s="31"/>
      <c r="F12" s="32">
        <f t="shared" si="0"/>
        <v>0</v>
      </c>
      <c r="G12" s="33">
        <f>IFERROR(VLOOKUP(B12,'MP Pan'!$A$6:$F$35,6,FALSE),0)</f>
        <v>0</v>
      </c>
      <c r="H12" s="33">
        <f t="shared" si="1"/>
        <v>0</v>
      </c>
      <c r="I12" s="32">
        <f t="shared" si="2"/>
        <v>0</v>
      </c>
      <c r="J12" s="34">
        <f t="shared" si="3"/>
        <v>0</v>
      </c>
      <c r="K12" s="54">
        <f t="shared" si="4"/>
        <v>0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15</v>
      </c>
      <c r="E14" s="75">
        <f t="shared" si="6"/>
        <v>22</v>
      </c>
      <c r="F14" s="75">
        <f t="shared" si="6"/>
        <v>16.375</v>
      </c>
      <c r="G14" s="76">
        <f t="shared" si="6"/>
        <v>28.516666666666669</v>
      </c>
      <c r="H14" s="76">
        <f t="shared" si="6"/>
        <v>39.145833333333336</v>
      </c>
      <c r="I14" s="75">
        <f t="shared" si="6"/>
        <v>1</v>
      </c>
      <c r="J14" s="77">
        <f>$D$20*I14</f>
        <v>2.0153846153846153</v>
      </c>
      <c r="K14" s="78">
        <f>SUM(K4:K13)</f>
        <v>0.30112179487179491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</row>
    <row r="16" spans="2:15" ht="34.5" x14ac:dyDescent="0.25">
      <c r="C16" s="38" t="s">
        <v>53</v>
      </c>
      <c r="D16" s="29">
        <v>130</v>
      </c>
      <c r="E16" s="27" t="str">
        <f>_xlfn.CONCAT("Pan ",B2,)</f>
        <v>Pan Pirujo 10 Libras</v>
      </c>
      <c r="F16" s="25"/>
      <c r="G16" s="52" t="s">
        <v>56</v>
      </c>
      <c r="H16" s="49">
        <f>D16*30</f>
        <v>3900</v>
      </c>
      <c r="I16" s="35"/>
    </row>
    <row r="17" spans="3:9" ht="15.75" thickBot="1" x14ac:dyDescent="0.3">
      <c r="C17" s="39" t="s">
        <v>54</v>
      </c>
      <c r="D17" s="40">
        <v>1</v>
      </c>
      <c r="E17" s="35"/>
      <c r="F17" s="25"/>
      <c r="G17" s="46" t="s">
        <v>57</v>
      </c>
      <c r="H17" s="47">
        <f>H16*D17</f>
        <v>3900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262</v>
      </c>
    </row>
    <row r="20" spans="3:9" ht="15.75" thickBot="1" x14ac:dyDescent="0.3">
      <c r="C20" s="50" t="s">
        <v>68</v>
      </c>
      <c r="D20" s="51">
        <f>D19/D16</f>
        <v>2.0153846153846153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53.238333333333337</v>
      </c>
    </row>
    <row r="23" spans="3:9" x14ac:dyDescent="0.25">
      <c r="C23" s="44" t="s">
        <v>70</v>
      </c>
      <c r="D23" s="39"/>
      <c r="E23" s="45">
        <f>D17*D16</f>
        <v>130</v>
      </c>
    </row>
    <row r="24" spans="3:9" x14ac:dyDescent="0.25">
      <c r="C24" s="44" t="s">
        <v>66</v>
      </c>
      <c r="D24" s="39"/>
      <c r="E24" s="45">
        <f>E23-E22</f>
        <v>76.761666666666656</v>
      </c>
    </row>
    <row r="25" spans="3:9" ht="15.75" thickBot="1" x14ac:dyDescent="0.3">
      <c r="C25" s="90" t="s">
        <v>72</v>
      </c>
      <c r="D25" s="91"/>
      <c r="E25" s="79">
        <f>E24/E22</f>
        <v>1.4418495445011423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A852-5A93-49D3-9B27-4C519371B7F6}">
  <sheetPr codeName="Sheet22"/>
  <dimension ref="B1:O25"/>
  <sheetViews>
    <sheetView workbookViewId="0">
      <selection activeCell="F23" sqref="F23"/>
    </sheetView>
  </sheetViews>
  <sheetFormatPr defaultColWidth="9.140625" defaultRowHeight="15" x14ac:dyDescent="0.25"/>
  <cols>
    <col min="1" max="1" width="9.140625" style="26"/>
    <col min="2" max="2" width="12.5703125" style="26" bestFit="1" customWidth="1"/>
    <col min="3" max="3" width="11.42578125" style="26" bestFit="1" customWidth="1"/>
    <col min="4" max="5" width="9.140625" style="26"/>
    <col min="6" max="6" width="13.5703125" style="26" customWidth="1"/>
    <col min="7" max="7" width="15.85546875" style="26" customWidth="1"/>
    <col min="8" max="8" width="11" style="26" customWidth="1"/>
    <col min="9" max="10" width="11" style="26" bestFit="1" customWidth="1"/>
    <col min="11" max="16384" width="9.140625" style="26"/>
  </cols>
  <sheetData>
    <row r="1" spans="2:15" ht="15.75" thickBot="1" x14ac:dyDescent="0.3"/>
    <row r="2" spans="2:15" ht="15.75" thickBot="1" x14ac:dyDescent="0.3">
      <c r="B2" s="92" t="s">
        <v>74</v>
      </c>
      <c r="C2" s="93"/>
      <c r="D2" s="93"/>
      <c r="E2" s="93"/>
      <c r="F2" s="93"/>
      <c r="G2" s="93"/>
      <c r="H2" s="93"/>
      <c r="I2" s="93"/>
      <c r="J2" s="93"/>
      <c r="K2" s="94"/>
    </row>
    <row r="3" spans="2:15" ht="68.25" thickBot="1" x14ac:dyDescent="0.3">
      <c r="B3" s="62" t="s">
        <v>0</v>
      </c>
      <c r="C3" s="63" t="s">
        <v>1</v>
      </c>
      <c r="D3" s="63" t="s">
        <v>60</v>
      </c>
      <c r="E3" s="63" t="s">
        <v>61</v>
      </c>
      <c r="F3" s="64" t="s">
        <v>2</v>
      </c>
      <c r="G3" s="65" t="s">
        <v>3</v>
      </c>
      <c r="H3" s="65" t="s">
        <v>69</v>
      </c>
      <c r="I3" s="66" t="s">
        <v>4</v>
      </c>
      <c r="J3" s="65" t="s">
        <v>58</v>
      </c>
      <c r="K3" s="67" t="s">
        <v>5</v>
      </c>
      <c r="L3" s="28"/>
    </row>
    <row r="4" spans="2:15" x14ac:dyDescent="0.25">
      <c r="B4" s="55" t="s">
        <v>25</v>
      </c>
      <c r="C4" s="56">
        <v>1</v>
      </c>
      <c r="D4" s="57">
        <v>4</v>
      </c>
      <c r="E4" s="57">
        <v>4</v>
      </c>
      <c r="F4" s="58">
        <f>IFERROR(D4+E4/16,"")</f>
        <v>4.25</v>
      </c>
      <c r="G4" s="59">
        <f>IFERROR(VLOOKUP(B4,'MP Pan'!$A$6:$F$35,6,FALSE),0)</f>
        <v>2.85</v>
      </c>
      <c r="H4" s="59">
        <f>F4*G4</f>
        <v>12.112500000000001</v>
      </c>
      <c r="I4" s="58">
        <f>F4/$F$14</f>
        <v>0.34256926952141059</v>
      </c>
      <c r="J4" s="60">
        <f>$D$20*I4</f>
        <v>1.0967741935483872</v>
      </c>
      <c r="K4" s="61">
        <f>(G4/16)*J4</f>
        <v>0.19536290322580649</v>
      </c>
      <c r="L4" s="35"/>
    </row>
    <row r="5" spans="2:15" x14ac:dyDescent="0.25">
      <c r="B5" s="53" t="s">
        <v>8</v>
      </c>
      <c r="C5" s="30">
        <f>IFERROR(($C$4*F5)/$D$4,"")</f>
        <v>3.125E-2</v>
      </c>
      <c r="D5" s="31"/>
      <c r="E5" s="31">
        <v>2</v>
      </c>
      <c r="F5" s="32">
        <f t="shared" ref="F5:F12" si="0">IFERROR(D5+E5/16,"")</f>
        <v>0.125</v>
      </c>
      <c r="G5" s="33">
        <f>IFERROR(VLOOKUP(B5,'MP Pan'!$A$6:$F$35,6,FALSE),0)</f>
        <v>11.5</v>
      </c>
      <c r="H5" s="33">
        <f t="shared" ref="H5:H13" si="1">F5*G5</f>
        <v>1.4375</v>
      </c>
      <c r="I5" s="32">
        <f t="shared" ref="I5:I13" si="2">F5/$F$14</f>
        <v>1.0075566750629723E-2</v>
      </c>
      <c r="J5" s="34">
        <f t="shared" ref="J5:J13" si="3">$D$20*I5</f>
        <v>3.2258064516129031E-2</v>
      </c>
      <c r="K5" s="54">
        <f t="shared" ref="K5:K13" si="4">(G5/16)*J5</f>
        <v>2.3185483870967742E-2</v>
      </c>
      <c r="L5" s="35"/>
      <c r="N5" s="35"/>
      <c r="O5" s="35"/>
    </row>
    <row r="6" spans="2:15" x14ac:dyDescent="0.25">
      <c r="B6" s="53" t="s">
        <v>7</v>
      </c>
      <c r="C6" s="30">
        <f t="shared" ref="C6:C13" si="5">IFERROR(($C$4*F6)/$D$4,"")</f>
        <v>0.25</v>
      </c>
      <c r="D6" s="31">
        <v>1</v>
      </c>
      <c r="E6" s="31"/>
      <c r="F6" s="32">
        <f t="shared" si="0"/>
        <v>1</v>
      </c>
      <c r="G6" s="33">
        <f>IFERROR(VLOOKUP(B6,'MP Pan'!$A$6:$F$35,6,FALSE),0)</f>
        <v>4.5</v>
      </c>
      <c r="H6" s="33">
        <f t="shared" si="1"/>
        <v>4.5</v>
      </c>
      <c r="I6" s="32">
        <f t="shared" si="2"/>
        <v>8.0604534005037781E-2</v>
      </c>
      <c r="J6" s="34">
        <f t="shared" si="3"/>
        <v>0.25806451612903225</v>
      </c>
      <c r="K6" s="54">
        <f t="shared" si="4"/>
        <v>7.2580645161290314E-2</v>
      </c>
      <c r="L6" s="35"/>
      <c r="O6" s="35"/>
    </row>
    <row r="7" spans="2:15" x14ac:dyDescent="0.25">
      <c r="B7" s="53" t="s">
        <v>65</v>
      </c>
      <c r="C7" s="30">
        <f t="shared" si="5"/>
        <v>0.125</v>
      </c>
      <c r="D7" s="31"/>
      <c r="E7" s="31">
        <v>8</v>
      </c>
      <c r="F7" s="32">
        <f t="shared" si="0"/>
        <v>0.5</v>
      </c>
      <c r="G7" s="33">
        <f>IFERROR(VLOOKUP(B7,'MP Pan'!$A$6:$F$35,6,FALSE),0)</f>
        <v>0.5</v>
      </c>
      <c r="H7" s="33">
        <f t="shared" si="1"/>
        <v>0.25</v>
      </c>
      <c r="I7" s="32">
        <f t="shared" si="2"/>
        <v>4.0302267002518891E-2</v>
      </c>
      <c r="J7" s="34">
        <f t="shared" si="3"/>
        <v>0.12903225806451613</v>
      </c>
      <c r="K7" s="54">
        <f t="shared" si="4"/>
        <v>4.0322580645161289E-3</v>
      </c>
      <c r="N7" s="35"/>
      <c r="O7" s="35"/>
    </row>
    <row r="8" spans="2:15" x14ac:dyDescent="0.25">
      <c r="B8" s="53" t="s">
        <v>83</v>
      </c>
      <c r="C8" s="30">
        <f t="shared" si="5"/>
        <v>1</v>
      </c>
      <c r="D8" s="31">
        <v>4</v>
      </c>
      <c r="E8" s="31"/>
      <c r="F8" s="32">
        <f t="shared" si="0"/>
        <v>4</v>
      </c>
      <c r="G8" s="33">
        <f>IFERROR(VLOOKUP(B8,'MP Pan'!$A$6:$F$35,6,FALSE),0)</f>
        <v>1.5</v>
      </c>
      <c r="H8" s="33">
        <f t="shared" si="1"/>
        <v>6</v>
      </c>
      <c r="I8" s="32">
        <f t="shared" si="2"/>
        <v>0.32241813602015112</v>
      </c>
      <c r="J8" s="34">
        <f t="shared" si="3"/>
        <v>1.032258064516129</v>
      </c>
      <c r="K8" s="54">
        <f t="shared" si="4"/>
        <v>9.6774193548387094E-2</v>
      </c>
      <c r="M8" s="95"/>
      <c r="N8" s="95"/>
      <c r="O8" s="35"/>
    </row>
    <row r="9" spans="2:15" x14ac:dyDescent="0.25">
      <c r="B9" s="53"/>
      <c r="C9" s="30">
        <f t="shared" si="5"/>
        <v>7.8125E-3</v>
      </c>
      <c r="D9" s="31">
        <v>0</v>
      </c>
      <c r="E9" s="31">
        <v>0.5</v>
      </c>
      <c r="F9" s="32">
        <f t="shared" si="0"/>
        <v>3.125E-2</v>
      </c>
      <c r="G9" s="33">
        <f>IFERROR(VLOOKUP(B9,'MP Pan'!$A$6:$F$35,6,FALSE),0)</f>
        <v>0</v>
      </c>
      <c r="H9" s="33">
        <f t="shared" si="1"/>
        <v>0</v>
      </c>
      <c r="I9" s="32">
        <f t="shared" si="2"/>
        <v>2.5188916876574307E-3</v>
      </c>
      <c r="J9" s="34">
        <f t="shared" si="3"/>
        <v>8.0645161290322578E-3</v>
      </c>
      <c r="K9" s="54">
        <f t="shared" si="4"/>
        <v>0</v>
      </c>
      <c r="M9" s="95"/>
      <c r="N9" s="95"/>
      <c r="O9" s="35"/>
    </row>
    <row r="10" spans="2:15" x14ac:dyDescent="0.25">
      <c r="B10" s="53" t="s">
        <v>166</v>
      </c>
      <c r="C10" s="30">
        <f t="shared" si="5"/>
        <v>0.25</v>
      </c>
      <c r="D10" s="31">
        <v>1</v>
      </c>
      <c r="E10" s="31"/>
      <c r="F10" s="32">
        <f t="shared" si="0"/>
        <v>1</v>
      </c>
      <c r="G10" s="33">
        <f>IFERROR(VLOOKUP(B10,'MP Pan'!$A$6:$F$35,6,FALSE),0)</f>
        <v>7.666666666666667</v>
      </c>
      <c r="H10" s="33">
        <f t="shared" si="1"/>
        <v>7.666666666666667</v>
      </c>
      <c r="I10" s="32">
        <f t="shared" si="2"/>
        <v>8.0604534005037781E-2</v>
      </c>
      <c r="J10" s="34">
        <f t="shared" si="3"/>
        <v>0.25806451612903225</v>
      </c>
      <c r="K10" s="54">
        <f t="shared" si="4"/>
        <v>0.12365591397849462</v>
      </c>
      <c r="M10" s="95"/>
      <c r="N10" s="95"/>
      <c r="O10" s="35"/>
    </row>
    <row r="11" spans="2:15" x14ac:dyDescent="0.25">
      <c r="B11" s="53" t="s">
        <v>101</v>
      </c>
      <c r="C11" s="30">
        <f>IFERROR(($C$4*F11)/$D$4,"")</f>
        <v>0.125</v>
      </c>
      <c r="D11" s="31"/>
      <c r="E11" s="31">
        <v>8</v>
      </c>
      <c r="F11" s="32">
        <f t="shared" si="0"/>
        <v>0.5</v>
      </c>
      <c r="G11" s="33">
        <f>IFERROR(VLOOKUP(B11,'MP Pan'!$A$6:$F$35,6,FALSE),0)</f>
        <v>10</v>
      </c>
      <c r="H11" s="33">
        <f t="shared" si="1"/>
        <v>5</v>
      </c>
      <c r="I11" s="32">
        <f t="shared" si="2"/>
        <v>4.0302267002518891E-2</v>
      </c>
      <c r="J11" s="34">
        <f t="shared" si="3"/>
        <v>0.12903225806451613</v>
      </c>
      <c r="K11" s="54">
        <f t="shared" si="4"/>
        <v>8.0645161290322578E-2</v>
      </c>
      <c r="M11" s="36"/>
      <c r="N11" s="36"/>
      <c r="O11" s="35"/>
    </row>
    <row r="12" spans="2:15" x14ac:dyDescent="0.25">
      <c r="B12" s="53" t="s">
        <v>167</v>
      </c>
      <c r="C12" s="30">
        <f t="shared" si="5"/>
        <v>0.25</v>
      </c>
      <c r="D12" s="31">
        <v>1</v>
      </c>
      <c r="E12" s="31"/>
      <c r="F12" s="32">
        <f t="shared" si="0"/>
        <v>1</v>
      </c>
      <c r="G12" s="33">
        <f>IFERROR(VLOOKUP(B12,'MP Pan'!$A$6:$F$35,6,FALSE),0)</f>
        <v>59.85</v>
      </c>
      <c r="H12" s="33">
        <f t="shared" si="1"/>
        <v>59.85</v>
      </c>
      <c r="I12" s="32">
        <f t="shared" si="2"/>
        <v>8.0604534005037781E-2</v>
      </c>
      <c r="J12" s="34">
        <f t="shared" si="3"/>
        <v>0.25806451612903225</v>
      </c>
      <c r="K12" s="54">
        <f t="shared" si="4"/>
        <v>0.9653225806451613</v>
      </c>
      <c r="M12" s="36"/>
      <c r="N12" s="36"/>
      <c r="O12" s="35"/>
    </row>
    <row r="13" spans="2:15" ht="15.75" thickBot="1" x14ac:dyDescent="0.3">
      <c r="B13" s="68"/>
      <c r="C13" s="69">
        <f t="shared" si="5"/>
        <v>0</v>
      </c>
      <c r="D13" s="70"/>
      <c r="E13" s="70"/>
      <c r="F13" s="71">
        <f>IFERROR(D13+E13/16," ")</f>
        <v>0</v>
      </c>
      <c r="G13" s="72">
        <f>IFERROR(VLOOKUP(B13,'MP Pan'!$A$6:$F$35,6,FALSE),0)</f>
        <v>0</v>
      </c>
      <c r="H13" s="72">
        <f t="shared" si="1"/>
        <v>0</v>
      </c>
      <c r="I13" s="71">
        <f t="shared" si="2"/>
        <v>0</v>
      </c>
      <c r="J13" s="73">
        <f t="shared" si="3"/>
        <v>0</v>
      </c>
      <c r="K13" s="74">
        <f t="shared" si="4"/>
        <v>0</v>
      </c>
      <c r="M13" s="36"/>
      <c r="N13" s="36"/>
      <c r="O13" s="35"/>
    </row>
    <row r="14" spans="2:15" ht="15.75" thickBot="1" x14ac:dyDescent="0.3">
      <c r="B14" s="96" t="s">
        <v>13</v>
      </c>
      <c r="C14" s="97"/>
      <c r="D14" s="75">
        <f t="shared" ref="D14:I14" si="6">SUM(D4:D13)</f>
        <v>11</v>
      </c>
      <c r="E14" s="75">
        <f t="shared" si="6"/>
        <v>22.5</v>
      </c>
      <c r="F14" s="75">
        <f t="shared" si="6"/>
        <v>12.40625</v>
      </c>
      <c r="G14" s="76">
        <f t="shared" si="6"/>
        <v>98.366666666666674</v>
      </c>
      <c r="H14" s="76">
        <f t="shared" si="6"/>
        <v>96.816666666666663</v>
      </c>
      <c r="I14" s="75">
        <f t="shared" si="6"/>
        <v>1</v>
      </c>
      <c r="J14" s="77">
        <f>$D$20*I14</f>
        <v>3.2016129032258065</v>
      </c>
      <c r="K14" s="78">
        <f>SUM(K4:K13)</f>
        <v>1.5615591397849462</v>
      </c>
      <c r="M14" s="95"/>
      <c r="N14" s="95"/>
      <c r="O14" s="35"/>
    </row>
    <row r="15" spans="2:15" ht="15.75" thickBot="1" x14ac:dyDescent="0.3">
      <c r="F15" s="37"/>
      <c r="G15" s="37"/>
      <c r="H15" s="37"/>
      <c r="I15" s="37"/>
      <c r="K15" s="35">
        <f>K14*1.36</f>
        <v>2.123720430107527</v>
      </c>
    </row>
    <row r="16" spans="2:15" ht="34.5" x14ac:dyDescent="0.25">
      <c r="C16" s="38" t="s">
        <v>53</v>
      </c>
      <c r="D16" s="29">
        <v>62</v>
      </c>
      <c r="E16" s="27" t="s">
        <v>169</v>
      </c>
      <c r="F16" s="25"/>
      <c r="G16" s="52" t="s">
        <v>56</v>
      </c>
      <c r="H16" s="49">
        <v>62</v>
      </c>
      <c r="I16" s="35"/>
    </row>
    <row r="17" spans="3:9" ht="15.75" thickBot="1" x14ac:dyDescent="0.3">
      <c r="C17" s="39" t="s">
        <v>54</v>
      </c>
      <c r="D17" s="40">
        <v>5</v>
      </c>
      <c r="E17" s="35"/>
      <c r="F17" s="25"/>
      <c r="G17" s="46" t="s">
        <v>57</v>
      </c>
      <c r="H17" s="47">
        <f>H16*D17</f>
        <v>310</v>
      </c>
      <c r="I17" s="35"/>
    </row>
    <row r="18" spans="3:9" ht="15.75" thickBot="1" x14ac:dyDescent="0.3"/>
    <row r="19" spans="3:9" x14ac:dyDescent="0.25">
      <c r="C19" s="48" t="s">
        <v>67</v>
      </c>
      <c r="D19" s="49">
        <f>F14*16</f>
        <v>198.5</v>
      </c>
    </row>
    <row r="20" spans="3:9" ht="15.75" thickBot="1" x14ac:dyDescent="0.3">
      <c r="C20" s="50" t="s">
        <v>68</v>
      </c>
      <c r="D20" s="51">
        <f>D19/D16</f>
        <v>3.2016129032258065</v>
      </c>
    </row>
    <row r="21" spans="3:9" ht="15.75" thickBot="1" x14ac:dyDescent="0.3"/>
    <row r="22" spans="3:9" x14ac:dyDescent="0.25">
      <c r="C22" s="41" t="s">
        <v>71</v>
      </c>
      <c r="D22" s="42"/>
      <c r="E22" s="43">
        <f>H14*1.36</f>
        <v>131.67066666666668</v>
      </c>
      <c r="F22" s="35"/>
    </row>
    <row r="23" spans="3:9" x14ac:dyDescent="0.25">
      <c r="C23" s="44" t="s">
        <v>70</v>
      </c>
      <c r="D23" s="39"/>
      <c r="E23" s="45">
        <f>D17*D16</f>
        <v>310</v>
      </c>
    </row>
    <row r="24" spans="3:9" x14ac:dyDescent="0.25">
      <c r="C24" s="44" t="s">
        <v>66</v>
      </c>
      <c r="D24" s="39"/>
      <c r="E24" s="45">
        <f>E23-E22</f>
        <v>178.32933333333332</v>
      </c>
    </row>
    <row r="25" spans="3:9" ht="15.75" thickBot="1" x14ac:dyDescent="0.3">
      <c r="C25" s="90" t="s">
        <v>72</v>
      </c>
      <c r="D25" s="91"/>
      <c r="E25" s="79">
        <f>E24/E22</f>
        <v>1.3543588549208629</v>
      </c>
      <c r="G25" s="35"/>
    </row>
  </sheetData>
  <mergeCells count="7">
    <mergeCell ref="C25:D25"/>
    <mergeCell ref="B2:K2"/>
    <mergeCell ref="M8:N8"/>
    <mergeCell ref="M9:N9"/>
    <mergeCell ref="M10:N10"/>
    <mergeCell ref="B14:C14"/>
    <mergeCell ref="M14:N1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C364-0610-43DB-A590-10135EBA066C}">
  <sheetPr codeName="Sheet2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B9A6-8D7A-4A86-81B8-8436AB8F62D5}">
  <sheetPr codeName="Sheet24"/>
  <dimension ref="B1:R16"/>
  <sheetViews>
    <sheetView workbookViewId="0">
      <selection activeCell="G9" sqref="G9"/>
    </sheetView>
  </sheetViews>
  <sheetFormatPr defaultRowHeight="15" x14ac:dyDescent="0.25"/>
  <cols>
    <col min="2" max="2" width="9.140625" bestFit="1" customWidth="1"/>
    <col min="5" max="5" width="12.42578125" bestFit="1" customWidth="1"/>
  </cols>
  <sheetData>
    <row r="1" spans="2:18" x14ac:dyDescent="0.25">
      <c r="B1" s="86">
        <f ca="1">TODAY()</f>
        <v>46275</v>
      </c>
    </row>
    <row r="4" spans="2:18" x14ac:dyDescent="0.25">
      <c r="G4" t="s">
        <v>125</v>
      </c>
      <c r="H4" t="s">
        <v>126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 t="s">
        <v>134</v>
      </c>
      <c r="Q4" t="s">
        <v>135</v>
      </c>
      <c r="R4" t="s">
        <v>136</v>
      </c>
    </row>
    <row r="5" spans="2:18" x14ac:dyDescent="0.25">
      <c r="E5" s="103">
        <v>2025</v>
      </c>
      <c r="F5" t="s">
        <v>141</v>
      </c>
      <c r="G5">
        <v>0</v>
      </c>
      <c r="H5">
        <v>0</v>
      </c>
      <c r="I5">
        <v>0</v>
      </c>
      <c r="J5">
        <v>0</v>
      </c>
      <c r="K5">
        <v>0</v>
      </c>
      <c r="L5">
        <v>300</v>
      </c>
      <c r="M5">
        <v>300</v>
      </c>
      <c r="N5">
        <v>300</v>
      </c>
      <c r="O5">
        <v>300</v>
      </c>
      <c r="P5">
        <v>300</v>
      </c>
      <c r="Q5">
        <v>300</v>
      </c>
      <c r="R5">
        <v>300</v>
      </c>
    </row>
    <row r="6" spans="2:18" x14ac:dyDescent="0.25">
      <c r="E6" s="103"/>
      <c r="F6" t="s">
        <v>140</v>
      </c>
      <c r="G6">
        <v>0</v>
      </c>
      <c r="H6">
        <v>0</v>
      </c>
      <c r="I6">
        <v>0</v>
      </c>
      <c r="J6">
        <v>0</v>
      </c>
      <c r="K6">
        <v>0</v>
      </c>
      <c r="L6">
        <v>300</v>
      </c>
      <c r="M6">
        <v>300</v>
      </c>
      <c r="N6">
        <v>0</v>
      </c>
      <c r="O6">
        <v>0</v>
      </c>
      <c r="P6">
        <v>0</v>
      </c>
      <c r="Q6">
        <v>0</v>
      </c>
      <c r="R6">
        <v>0</v>
      </c>
    </row>
    <row r="7" spans="2:18" x14ac:dyDescent="0.25">
      <c r="B7" s="86">
        <v>45883</v>
      </c>
      <c r="C7" t="s">
        <v>137</v>
      </c>
      <c r="D7">
        <v>587</v>
      </c>
      <c r="E7" s="103">
        <v>2026</v>
      </c>
      <c r="F7" t="s">
        <v>141</v>
      </c>
      <c r="G7">
        <v>300</v>
      </c>
      <c r="H7">
        <v>300</v>
      </c>
      <c r="I7">
        <v>300</v>
      </c>
      <c r="J7">
        <v>300</v>
      </c>
      <c r="K7">
        <v>300</v>
      </c>
      <c r="L7">
        <v>300</v>
      </c>
      <c r="M7">
        <v>300</v>
      </c>
      <c r="N7">
        <v>300</v>
      </c>
      <c r="O7">
        <v>300</v>
      </c>
      <c r="P7">
        <v>300</v>
      </c>
      <c r="Q7">
        <v>300</v>
      </c>
      <c r="R7">
        <v>300</v>
      </c>
    </row>
    <row r="8" spans="2:18" x14ac:dyDescent="0.25">
      <c r="E8" s="103"/>
      <c r="F8" t="s">
        <v>142</v>
      </c>
      <c r="G8">
        <v>0</v>
      </c>
      <c r="H8">
        <v>0</v>
      </c>
      <c r="I8">
        <v>500</v>
      </c>
      <c r="J8">
        <v>0</v>
      </c>
      <c r="K8">
        <v>0</v>
      </c>
      <c r="L8">
        <v>0</v>
      </c>
      <c r="M8">
        <v>500</v>
      </c>
    </row>
    <row r="9" spans="2:18" x14ac:dyDescent="0.25">
      <c r="B9" t="s">
        <v>138</v>
      </c>
      <c r="C9">
        <v>550</v>
      </c>
      <c r="E9" s="103">
        <v>2027</v>
      </c>
      <c r="F9" t="s">
        <v>141</v>
      </c>
      <c r="G9">
        <v>300</v>
      </c>
      <c r="H9">
        <v>300</v>
      </c>
      <c r="I9">
        <v>300</v>
      </c>
      <c r="J9">
        <v>300</v>
      </c>
      <c r="K9">
        <v>300</v>
      </c>
      <c r="L9">
        <v>300</v>
      </c>
      <c r="M9">
        <v>300</v>
      </c>
      <c r="N9">
        <v>300</v>
      </c>
      <c r="O9">
        <v>300</v>
      </c>
      <c r="P9">
        <v>300</v>
      </c>
      <c r="Q9">
        <v>300</v>
      </c>
      <c r="R9">
        <v>300</v>
      </c>
    </row>
    <row r="10" spans="2:18" x14ac:dyDescent="0.25">
      <c r="B10" t="s">
        <v>8</v>
      </c>
      <c r="C10">
        <v>56</v>
      </c>
      <c r="E10" s="103"/>
      <c r="F10" t="s">
        <v>142</v>
      </c>
    </row>
    <row r="11" spans="2:18" x14ac:dyDescent="0.25">
      <c r="B11" t="s">
        <v>139</v>
      </c>
      <c r="C11">
        <v>258</v>
      </c>
      <c r="E11" s="103">
        <v>2028</v>
      </c>
      <c r="F11" t="s">
        <v>141</v>
      </c>
      <c r="G11">
        <v>300</v>
      </c>
      <c r="H11">
        <v>300</v>
      </c>
      <c r="I11">
        <v>300</v>
      </c>
      <c r="J11">
        <v>300</v>
      </c>
      <c r="K11">
        <v>300</v>
      </c>
      <c r="L11">
        <v>300</v>
      </c>
      <c r="M11">
        <v>300</v>
      </c>
      <c r="N11">
        <v>300</v>
      </c>
      <c r="O11">
        <v>300</v>
      </c>
      <c r="P11">
        <v>300</v>
      </c>
      <c r="Q11">
        <v>300</v>
      </c>
      <c r="R11">
        <v>300</v>
      </c>
    </row>
    <row r="12" spans="2:18" x14ac:dyDescent="0.25">
      <c r="E12" s="103"/>
      <c r="F12" t="s">
        <v>142</v>
      </c>
    </row>
    <row r="13" spans="2:18" x14ac:dyDescent="0.25">
      <c r="E13" s="103">
        <v>2029</v>
      </c>
      <c r="F13" t="s">
        <v>141</v>
      </c>
      <c r="G13">
        <v>300</v>
      </c>
      <c r="H13">
        <v>300</v>
      </c>
      <c r="I13">
        <v>300</v>
      </c>
      <c r="J13">
        <v>300</v>
      </c>
      <c r="K13">
        <v>300</v>
      </c>
    </row>
    <row r="14" spans="2:18" x14ac:dyDescent="0.25">
      <c r="E14" s="103"/>
      <c r="F14" t="s">
        <v>142</v>
      </c>
    </row>
    <row r="15" spans="2:18" x14ac:dyDescent="0.25">
      <c r="E15" t="s">
        <v>143</v>
      </c>
      <c r="F15">
        <f>SUM(L5:R5,G7:R7,G9:R9,G11:R11,G13:K13)-SUM(L6:R6,G8:R8,G10:R10,G12:K12,G14:K14)</f>
        <v>12800</v>
      </c>
    </row>
    <row r="16" spans="2:18" x14ac:dyDescent="0.25">
      <c r="E16" t="s">
        <v>144</v>
      </c>
    </row>
  </sheetData>
  <mergeCells count="5">
    <mergeCell ref="E5:E6"/>
    <mergeCell ref="E7:E8"/>
    <mergeCell ref="E9:E10"/>
    <mergeCell ref="E11:E12"/>
    <mergeCell ref="E13:E1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1bbe47-fbe5-4025-a6ae-27963dadb346}" enabled="0" method="" siteId="{411bbe47-fbe5-4025-a6ae-27963dadb3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Frasco 50 ML y  8ml</vt:lpstr>
      <vt:lpstr>Frasco 100 ML</vt:lpstr>
      <vt:lpstr>Frasco 50 ML</vt:lpstr>
      <vt:lpstr>MP perfume</vt:lpstr>
      <vt:lpstr>MP Pan</vt:lpstr>
      <vt:lpstr>Rosca de Color</vt:lpstr>
      <vt:lpstr>Empanada Salpor</vt:lpstr>
      <vt:lpstr>Empanadas Flo</vt:lpstr>
      <vt:lpstr>SHUCOS</vt:lpstr>
      <vt:lpstr>Formulación</vt:lpstr>
      <vt:lpstr>Tostado</vt:lpstr>
      <vt:lpstr>Panitos de manteca</vt:lpstr>
      <vt:lpstr>Manteca</vt:lpstr>
      <vt:lpstr>Frances</vt:lpstr>
      <vt:lpstr>Brazo Gitano</vt:lpstr>
      <vt:lpstr>Torta</vt:lpstr>
      <vt:lpstr>Cubilites</vt:lpstr>
      <vt:lpstr>Donas</vt:lpstr>
      <vt:lpstr>Pañuelitos</vt:lpstr>
      <vt:lpstr>Pan de Banano</vt:lpstr>
      <vt:lpstr>Pirujo</vt:lpstr>
      <vt:lpstr>croosaint</vt:lpstr>
      <vt:lpstr>Sheet1</vt:lpstr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Beltran, Luis</dc:creator>
  <cp:lastModifiedBy>Beltran, Luis</cp:lastModifiedBy>
  <dcterms:created xsi:type="dcterms:W3CDTF">2025-05-14T16:48:31Z</dcterms:created>
  <dcterms:modified xsi:type="dcterms:W3CDTF">2026-09-10T23:37:34Z</dcterms:modified>
</cp:coreProperties>
</file>